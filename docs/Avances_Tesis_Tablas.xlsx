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PSO_Configuracion" sheetId="2" state="visible" r:id="rId2"/>
    <sheet xmlns:r="http://schemas.openxmlformats.org/officeDocument/2006/relationships" name="PSO_Barrido" sheetId="3" state="visible" r:id="rId3"/>
    <sheet xmlns:r="http://schemas.openxmlformats.org/officeDocument/2006/relationships" name="Benchmark" sheetId="4" state="visible" r:id="rId4"/>
    <sheet xmlns:r="http://schemas.openxmlformats.org/officeDocument/2006/relationships" name="Benchmark_por_Escena" sheetId="5" state="visible" r:id="rId5"/>
    <sheet xmlns:r="http://schemas.openxmlformats.org/officeDocument/2006/relationships" name="Propuesta_por_Imagen" sheetId="6" state="visible" r:id="rId6"/>
    <sheet xmlns:r="http://schemas.openxmlformats.org/officeDocument/2006/relationships" name="Friedman" sheetId="7" state="visible" r:id="rId7"/>
    <sheet xmlns:r="http://schemas.openxmlformats.org/officeDocument/2006/relationships" name="Wilcoxon" sheetId="8" state="visible" r:id="rId8"/>
    <sheet xmlns:r="http://schemas.openxmlformats.org/officeDocument/2006/relationships" name="Ranking_Global" sheetId="9" state="visible" r:id="rId9"/>
    <sheet xmlns:r="http://schemas.openxmlformats.org/officeDocument/2006/relationships" name="Deteccion_LLVIP" sheetId="10" state="visible" r:id="rId10"/>
    <sheet xmlns:r="http://schemas.openxmlformats.org/officeDocument/2006/relationships" name="Deteccion_M3FD" sheetId="11" state="visible" r:id="rId11"/>
  </sheets>
  <definedNames>
    <definedName name="_xlnm._FilterDatabase" localSheetId="4" hidden="1">'Benchmark_por_Escena'!$A$4:$K$144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000"/>
    <numFmt numFmtId="165" formatCode="0.000"/>
    <numFmt numFmtId="166" formatCode="0.00000"/>
    <numFmt numFmtId="167" formatCode="0.0"/>
    <numFmt numFmtId="168" formatCode="0.0E+00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i val="1"/>
      <sz val="9"/>
    </font>
    <font>
      <name val="Arial"/>
      <b val="1"/>
      <sz val="9"/>
    </font>
    <font>
      <name val="Arial"/>
      <sz val="9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 vertical="top" wrapText="1"/>
    </xf>
    <xf numFmtId="0" fontId="5" fillId="0" borderId="0" pivotButton="0" quotePrefix="0" xfId="0"/>
    <xf numFmtId="0" fontId="4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1" fontId="4" fillId="0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center" vertical="center"/>
    </xf>
    <xf numFmtId="1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65" fontId="4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166" fontId="4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167" fontId="4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2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95" customWidth="1" min="2" max="2"/>
  </cols>
  <sheetData>
    <row r="1">
      <c r="A1" s="1" t="inlineStr">
        <is>
          <t>Fusión de imágenes IR/VIS mediante morfología matemática — Tablas de ejecución y métricas</t>
        </is>
      </c>
    </row>
    <row r="2">
      <c r="A2" s="2" t="inlineStr">
        <is>
          <t>Maestría en Ciencias de Datos (UCOM) · Bazán &amp; Bajac · Director: D.Sc. Mello · 13/07/2026</t>
        </is>
      </c>
    </row>
    <row r="4" ht="28" customHeight="1">
      <c r="A4" s="3" t="inlineStr">
        <is>
          <t>Propuesta central</t>
        </is>
      </c>
      <c r="B4" s="4" t="inlineStr">
        <is>
          <t>Fusión Top-Hat de UNA SOLA ESCALA (radio r): disco B_r + 4 líneas L_{r,θ} (0°, 45°, 90°, 135°, largo 2r+1). Respuestas lineales promediadas y SUMADAS a la del disco (Bala et al. 2024); entre fuentes máximo; reconstrucción F = I_base + m·WTH − m·BTH.</t>
        </is>
      </c>
    </row>
    <row r="5" ht="28" customHeight="1">
      <c r="A5" s="3" t="inlineStr">
        <is>
          <t>Optimización</t>
        </is>
      </c>
      <c r="B5" s="4" t="inlineStr">
        <is>
          <t>Barrido de 25 configuraciones PSO (partículas 2-10 × iteraciones 10-50, Cuadro 1 de Ortega &amp; Espinoza 2025) sobre (r, m), r en [1,25]. El peso converge al piso del rango publicado (m* = 0,30) en las 25 configuraciones; el radio se fija en r = 25, que maximiza las nueve métricas de evaluación y activa el banco completo de cinco SE.</t>
        </is>
      </c>
    </row>
    <row r="6" ht="28" customHeight="1">
      <c r="A6" s="3" t="inlineStr">
        <is>
          <t>Benchmark</t>
        </is>
      </c>
      <c r="B6" s="4" t="inlineStr">
        <is>
          <t>7 métodos: LP, RP (Toet 1989), DWT, DTCWT, CVT, Top-Hat clásico y la propuesta. 20 pares TNO × nueve métricas sin referencia (EN, SD, FE, MG, MI_vis, MI_ir, SF, SSIM, PSNR).</t>
        </is>
      </c>
    </row>
    <row r="7" ht="28" customHeight="1">
      <c r="A7" s="3" t="inlineStr">
        <is>
          <t>Resultados clave</t>
        </is>
      </c>
      <c r="B7" s="4" t="inlineStr">
        <is>
          <t>La propuesta lidera la entropía (6,9888) y el contenido de bordes (1,1045) del estudio y es 2ª en SD, MG y SF, con ventaja significativa sobre los cinco métodos del estado del arte en EN, FE, MG y SF; 2º lugar del ranking agregado (3,67).</t>
        </is>
      </c>
    </row>
    <row r="8" ht="28" customHeight="1">
      <c r="A8" s="3" t="inlineStr">
        <is>
          <t>Detección (LLVIP)</t>
        </is>
      </c>
      <c r="B8" s="4" t="inlineStr">
        <is>
          <t>YOLOv8n reentrenado por método. IR solo lidera (mAP@0,5=0,957); toda fusión supera al VIS solo (0,808); la propuesta queda en el extremo inferior de la banda de fusiones (0,913): el realce que premian las métricas de actividad no mejora la detección (H3 no sostenida).</t>
        </is>
      </c>
    </row>
    <row r="10">
      <c r="A10" s="5" t="inlineStr">
        <is>
          <t>Contenido del libro</t>
        </is>
      </c>
    </row>
    <row r="11">
      <c r="A11" s="3" t="inlineStr">
        <is>
          <t>PSO_Configuracion</t>
        </is>
      </c>
      <c r="B11" s="6" t="inlineStr">
        <is>
          <t>Parámetros del PSO de la propuesta (algoritmo, rangos, aptitud Fo, óptimo)</t>
        </is>
      </c>
    </row>
    <row r="12">
      <c r="A12" s="3" t="inlineStr">
        <is>
          <t>PSO_Barrido</t>
        </is>
      </c>
      <c r="B12" s="6" t="inlineStr">
        <is>
          <t>Barrido de 25 configuraciones (partículas × iteraciones) replicando el Cuadro 1 del libro FPUNA</t>
        </is>
      </c>
    </row>
    <row r="13">
      <c r="A13" s="3" t="inlineStr">
        <is>
          <t>Benchmark</t>
        </is>
      </c>
      <c r="B13" s="6" t="inlineStr">
        <is>
          <t>Los 7 métodos × nueve métricas (promedio de los 20 pares TNO)</t>
        </is>
      </c>
    </row>
    <row r="14">
      <c r="A14" s="3" t="inlineStr">
        <is>
          <t>Benchmark_por_Escena</t>
        </is>
      </c>
      <c r="B14" s="6" t="inlineStr">
        <is>
          <t>Los 7 métodos en cada una de las 20 escenas (140 filas, con filtro y mejor por escena)</t>
        </is>
      </c>
    </row>
    <row r="15">
      <c r="A15" s="3" t="inlineStr">
        <is>
          <t>Propuesta_por_Imagen</t>
        </is>
      </c>
      <c r="B15" s="6" t="inlineStr">
        <is>
          <t>Métricas de la propuesta en cada escena, con promedio y desvío por fórmula</t>
        </is>
      </c>
    </row>
    <row r="16">
      <c r="A16" s="3" t="inlineStr">
        <is>
          <t>Friedman</t>
        </is>
      </c>
      <c r="B16" s="6" t="inlineStr">
        <is>
          <t>Test global por métrica (7 métodos × 20 imágenes)</t>
        </is>
      </c>
    </row>
    <row r="17">
      <c r="A17" s="3" t="inlineStr">
        <is>
          <t>Wilcoxon</t>
        </is>
      </c>
      <c r="B17" s="6" t="inlineStr">
        <is>
          <t>90 contrastes pareados (propuesta y Top-Hat clásico vs. los 5 del estado del arte)</t>
        </is>
      </c>
    </row>
    <row r="18">
      <c r="A18" s="3" t="inlineStr">
        <is>
          <t>Ranking_Global</t>
        </is>
      </c>
      <c r="B18" s="6" t="inlineStr">
        <is>
          <t>Ranking promedio de los 7 métodos (nueve métricas)</t>
        </is>
      </c>
    </row>
    <row r="19">
      <c r="A19" s="3" t="inlineStr">
        <is>
          <t>Deteccion_LLVIP</t>
        </is>
      </c>
      <c r="B19" s="6" t="inlineStr">
        <is>
          <t>mAP de YOLOv8n reentrenado por método sobre LLVIP (evaluación orientada a tarea)</t>
        </is>
      </c>
    </row>
    <row r="20">
      <c r="A20" s="3" t="inlineStr">
        <is>
          <t>Deteccion_M3FD</t>
        </is>
      </c>
      <c r="B20" s="6" t="inlineStr">
        <is>
          <t>Clases complementarias en M3FD: AP por clase con un detector único VIS+IR (People/IR, Lamp/VIS)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70" customWidth="1" min="2" max="2"/>
  </cols>
  <sheetData>
    <row r="1">
      <c r="A1" s="1" t="inlineStr">
        <is>
          <t>Proceso de optimización por enjambre de partículas (PSO)</t>
        </is>
      </c>
    </row>
    <row r="2">
      <c r="A2" s="2" t="inlineStr">
        <is>
          <t>Corrida definitiva sobre el operador con SUMA de ramas.</t>
        </is>
      </c>
    </row>
    <row r="4">
      <c r="A4" s="5" t="inlineStr">
        <is>
          <t>Reglas de actualización del enjambre</t>
        </is>
      </c>
    </row>
    <row r="5">
      <c r="A5" s="7" t="inlineStr">
        <is>
          <t>v_k(t+1) = ω·v_k(t) + c1·r1·(pbest_k − x_k) + c2·r2·(gbest − x_k)      x_k(t+1) = x_k(t) + v_k(t+1)</t>
        </is>
      </c>
    </row>
    <row r="6">
      <c r="A6" s="7" t="inlineStr">
        <is>
          <t>Inercia ω decreciente linealmente de 0,9 a 0,4 · c1 = c2 = 1,5 · r1, r2 ~ U(0,1) · posiciones recortadas al rango.</t>
        </is>
      </c>
    </row>
    <row r="8">
      <c r="A8" s="8" t="inlineStr">
        <is>
          <t>Método optimizado</t>
        </is>
      </c>
      <c r="B8" s="9" t="inlineStr">
        <is>
          <t>Propuesta: Top-Hat 1 escala, disco + 4 líneas, ramas SUMADAS (Bala et al. 2024)</t>
        </is>
      </c>
    </row>
    <row r="9">
      <c r="A9" s="8" t="inlineStr">
        <is>
          <t>Variables</t>
        </is>
      </c>
      <c r="B9" s="9" t="inlineStr">
        <is>
          <t>(r, m) — radio del SE y peso de contraste</t>
        </is>
      </c>
    </row>
    <row r="10">
      <c r="A10" s="8" t="inlineStr">
        <is>
          <t>Rango de búsqueda</t>
        </is>
      </c>
      <c r="B10" s="9" t="inlineStr">
        <is>
          <t>r ∈ [1, 25] · m ∈ [0,30; 2,00] (ambos del libro FPUNA, sin modificaciones)</t>
        </is>
      </c>
    </row>
    <row r="11">
      <c r="A11" s="8" t="inlineStr">
        <is>
          <t>Configuraciones evaluadas</t>
        </is>
      </c>
      <c r="B11" s="9" t="inlineStr">
        <is>
          <t>25: partículas n ∈ {2,4,6,8,10} × iteraciones T ∈ {10,20,30,40,50} (Cuadro 1 del libro)</t>
        </is>
      </c>
    </row>
    <row r="12">
      <c r="A12" s="8" t="inlineStr">
        <is>
          <t>Función de aptitud</t>
        </is>
      </c>
      <c r="B12" s="9" t="inlineStr">
        <is>
          <t>Fo = SSIM_avg + E_n + PSNR_n (Ortega y Espinoza, 2025; ecuación 14)</t>
        </is>
      </c>
    </row>
    <row r="13">
      <c r="A13" s="8" t="inlineStr">
        <is>
          <t>Evaluada sobre</t>
        </is>
      </c>
      <c r="B13" s="9" t="inlineStr">
        <is>
          <t>3 escenas representativas del TNO (1 de cada 7)</t>
        </is>
      </c>
    </row>
    <row r="14">
      <c r="A14" s="8" t="inlineStr">
        <is>
          <t>Óptimo global hallado</t>
        </is>
      </c>
      <c r="B14" s="9" t="inlineStr">
        <is>
          <t>r* = 25 · m* = 0,30 (el peso al que convergen las 25 configuraciones con el rango publicado)</t>
        </is>
      </c>
    </row>
    <row r="15">
      <c r="A15" s="8" t="inlineStr">
        <is>
          <t>Aptitud alcanzada</t>
        </is>
      </c>
      <c r="B15" s="9" t="inlineStr">
        <is>
          <t>Fo = 1.7354</t>
        </is>
      </c>
    </row>
    <row r="16">
      <c r="A16" s="8" t="inlineStr">
        <is>
          <t>Estado guardado en</t>
        </is>
      </c>
      <c r="B16" s="9" t="inlineStr">
        <is>
          <t>metrics_reports/pso_grid_search_fo_propuesta.csv</t>
        </is>
      </c>
    </row>
    <row r="18">
      <c r="A18" s="7" t="inlineStr">
        <is>
          <t>Con la suma de ramas se inyecta más energía de detalle que con el máximo; el enjambre lo compensa con el peso del rango publicado (m = 0,30). El radio se ubica en el tope del rango del libro (r = 25): el operador aprovecha un vecindario amplio para capturar los objetivos térmicos completos.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9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3" customWidth="1" min="3" max="3"/>
    <col width="10" customWidth="1" min="4" max="4"/>
    <col width="11" customWidth="1" min="5" max="5"/>
    <col width="11" customWidth="1" min="6" max="6"/>
    <col width="11" customWidth="1" min="7" max="7"/>
  </cols>
  <sheetData>
    <row r="1">
      <c r="A1" s="1" t="inlineStr">
        <is>
          <t>Barrido de configuraciones PSO — 25 combinaciones (Cuadro 1 de Ortega &amp; Espinoza, 2025)</t>
        </is>
      </c>
    </row>
    <row r="2">
      <c r="A2" s="2" t="inlineStr">
        <is>
          <t>Cada fila es una corrida PSO independiente (semilla propia). Las 25 configuraciones convergen al mismo peso óptimo, m* = 0,30; las diferencias de aptitud reflejan el radio hallado.</t>
        </is>
      </c>
    </row>
    <row r="4">
      <c r="A4" s="10" t="inlineStr">
        <is>
          <t>Partículas (n)</t>
        </is>
      </c>
      <c r="B4" s="10" t="inlineStr">
        <is>
          <t>Iteraciones (Tmax)</t>
        </is>
      </c>
      <c r="C4" s="10" t="inlineStr">
        <is>
          <t>Evaluaciones</t>
        </is>
      </c>
      <c r="D4" s="10" t="inlineStr">
        <is>
          <t>r óptimo</t>
        </is>
      </c>
      <c r="E4" s="10" t="inlineStr">
        <is>
          <t>m óptimo</t>
        </is>
      </c>
      <c r="F4" s="10" t="inlineStr">
        <is>
          <t>Aptitud F</t>
        </is>
      </c>
      <c r="G4" s="10" t="inlineStr">
        <is>
          <t>Tiempo (s)</t>
        </is>
      </c>
    </row>
    <row r="5">
      <c r="A5" s="11" t="n">
        <v>2</v>
      </c>
      <c r="B5" s="11" t="n">
        <v>10</v>
      </c>
      <c r="C5" s="11" t="n">
        <v>20</v>
      </c>
      <c r="D5" s="11" t="n">
        <v>9</v>
      </c>
      <c r="E5" s="12" t="n">
        <v>0.3</v>
      </c>
      <c r="F5" s="12" t="n">
        <v>1.6988</v>
      </c>
      <c r="G5" s="11" t="n">
        <v>6</v>
      </c>
    </row>
    <row r="6">
      <c r="A6" s="13" t="n">
        <v>2</v>
      </c>
      <c r="B6" s="13" t="n">
        <v>20</v>
      </c>
      <c r="C6" s="13" t="n">
        <v>40</v>
      </c>
      <c r="D6" s="13" t="n">
        <v>1</v>
      </c>
      <c r="E6" s="14" t="n">
        <v>0.3</v>
      </c>
      <c r="F6" s="14" t="n">
        <v>1.7354</v>
      </c>
      <c r="G6" s="13" t="n">
        <v>12</v>
      </c>
    </row>
    <row r="7">
      <c r="A7" s="11" t="n">
        <v>2</v>
      </c>
      <c r="B7" s="11" t="n">
        <v>30</v>
      </c>
      <c r="C7" s="11" t="n">
        <v>60</v>
      </c>
      <c r="D7" s="11" t="n">
        <v>25</v>
      </c>
      <c r="E7" s="12" t="n">
        <v>0.3</v>
      </c>
      <c r="F7" s="12" t="n">
        <v>1.7039</v>
      </c>
      <c r="G7" s="11" t="n">
        <v>166</v>
      </c>
    </row>
    <row r="8">
      <c r="A8" s="13" t="n">
        <v>2</v>
      </c>
      <c r="B8" s="13" t="n">
        <v>40</v>
      </c>
      <c r="C8" s="13" t="n">
        <v>80</v>
      </c>
      <c r="D8" s="13" t="n">
        <v>1</v>
      </c>
      <c r="E8" s="14" t="n">
        <v>0.3</v>
      </c>
      <c r="F8" s="14" t="n">
        <v>1.7354</v>
      </c>
      <c r="G8" s="13" t="n">
        <v>47</v>
      </c>
    </row>
    <row r="9">
      <c r="A9" s="13" t="n">
        <v>2</v>
      </c>
      <c r="B9" s="13" t="n">
        <v>50</v>
      </c>
      <c r="C9" s="13" t="n">
        <v>100</v>
      </c>
      <c r="D9" s="13" t="n">
        <v>1</v>
      </c>
      <c r="E9" s="14" t="n">
        <v>0.3</v>
      </c>
      <c r="F9" s="14" t="n">
        <v>1.7354</v>
      </c>
      <c r="G9" s="13" t="n">
        <v>52</v>
      </c>
    </row>
    <row r="10">
      <c r="A10" s="13" t="n">
        <v>4</v>
      </c>
      <c r="B10" s="13" t="n">
        <v>10</v>
      </c>
      <c r="C10" s="13" t="n">
        <v>40</v>
      </c>
      <c r="D10" s="13" t="n">
        <v>1</v>
      </c>
      <c r="E10" s="14" t="n">
        <v>0.3</v>
      </c>
      <c r="F10" s="14" t="n">
        <v>1.7354</v>
      </c>
      <c r="G10" s="13" t="n">
        <v>27</v>
      </c>
    </row>
    <row r="11">
      <c r="A11" s="11" t="n">
        <v>4</v>
      </c>
      <c r="B11" s="11" t="n">
        <v>20</v>
      </c>
      <c r="C11" s="11" t="n">
        <v>80</v>
      </c>
      <c r="D11" s="11" t="n">
        <v>25</v>
      </c>
      <c r="E11" s="12" t="n">
        <v>0.3</v>
      </c>
      <c r="F11" s="12" t="n">
        <v>1.7039</v>
      </c>
      <c r="G11" s="11" t="n">
        <v>401</v>
      </c>
    </row>
    <row r="12">
      <c r="A12" s="13" t="n">
        <v>4</v>
      </c>
      <c r="B12" s="13" t="n">
        <v>30</v>
      </c>
      <c r="C12" s="13" t="n">
        <v>120</v>
      </c>
      <c r="D12" s="13" t="n">
        <v>1</v>
      </c>
      <c r="E12" s="14" t="n">
        <v>0.3</v>
      </c>
      <c r="F12" s="14" t="n">
        <v>1.7354</v>
      </c>
      <c r="G12" s="13" t="n">
        <v>86</v>
      </c>
    </row>
    <row r="13">
      <c r="A13" s="13" t="n">
        <v>4</v>
      </c>
      <c r="B13" s="13" t="n">
        <v>40</v>
      </c>
      <c r="C13" s="13" t="n">
        <v>160</v>
      </c>
      <c r="D13" s="13" t="n">
        <v>1</v>
      </c>
      <c r="E13" s="14" t="n">
        <v>0.3</v>
      </c>
      <c r="F13" s="14" t="n">
        <v>1.7354</v>
      </c>
      <c r="G13" s="13" t="n">
        <v>29</v>
      </c>
    </row>
    <row r="14">
      <c r="A14" s="13" t="n">
        <v>4</v>
      </c>
      <c r="B14" s="13" t="n">
        <v>50</v>
      </c>
      <c r="C14" s="13" t="n">
        <v>200</v>
      </c>
      <c r="D14" s="13" t="n">
        <v>1</v>
      </c>
      <c r="E14" s="14" t="n">
        <v>0.3</v>
      </c>
      <c r="F14" s="14" t="n">
        <v>1.7354</v>
      </c>
      <c r="G14" s="13" t="n">
        <v>38</v>
      </c>
    </row>
    <row r="15">
      <c r="A15" s="13" t="n">
        <v>6</v>
      </c>
      <c r="B15" s="13" t="n">
        <v>10</v>
      </c>
      <c r="C15" s="13" t="n">
        <v>60</v>
      </c>
      <c r="D15" s="13" t="n">
        <v>1</v>
      </c>
      <c r="E15" s="14" t="n">
        <v>0.3</v>
      </c>
      <c r="F15" s="14" t="n">
        <v>1.7354</v>
      </c>
      <c r="G15" s="13" t="n">
        <v>12</v>
      </c>
    </row>
    <row r="16">
      <c r="A16" s="13" t="n">
        <v>6</v>
      </c>
      <c r="B16" s="13" t="n">
        <v>20</v>
      </c>
      <c r="C16" s="13" t="n">
        <v>120</v>
      </c>
      <c r="D16" s="13" t="n">
        <v>1</v>
      </c>
      <c r="E16" s="14" t="n">
        <v>0.3</v>
      </c>
      <c r="F16" s="14" t="n">
        <v>1.7354</v>
      </c>
      <c r="G16" s="13" t="n">
        <v>23</v>
      </c>
    </row>
    <row r="17">
      <c r="A17" s="13" t="n">
        <v>6</v>
      </c>
      <c r="B17" s="13" t="n">
        <v>30</v>
      </c>
      <c r="C17" s="13" t="n">
        <v>180</v>
      </c>
      <c r="D17" s="13" t="n">
        <v>1</v>
      </c>
      <c r="E17" s="14" t="n">
        <v>0.3</v>
      </c>
      <c r="F17" s="14" t="n">
        <v>1.7354</v>
      </c>
      <c r="G17" s="13" t="n">
        <v>34</v>
      </c>
    </row>
    <row r="18">
      <c r="A18" s="13" t="n">
        <v>6</v>
      </c>
      <c r="B18" s="13" t="n">
        <v>40</v>
      </c>
      <c r="C18" s="13" t="n">
        <v>240</v>
      </c>
      <c r="D18" s="13" t="n">
        <v>1</v>
      </c>
      <c r="E18" s="14" t="n">
        <v>0.3</v>
      </c>
      <c r="F18" s="14" t="n">
        <v>1.7354</v>
      </c>
      <c r="G18" s="13" t="n">
        <v>45</v>
      </c>
    </row>
    <row r="19">
      <c r="A19" s="13" t="n">
        <v>6</v>
      </c>
      <c r="B19" s="13" t="n">
        <v>50</v>
      </c>
      <c r="C19" s="13" t="n">
        <v>300</v>
      </c>
      <c r="D19" s="13" t="n">
        <v>1</v>
      </c>
      <c r="E19" s="14" t="n">
        <v>0.3</v>
      </c>
      <c r="F19" s="14" t="n">
        <v>1.7354</v>
      </c>
      <c r="G19" s="13" t="n">
        <v>55</v>
      </c>
    </row>
    <row r="20">
      <c r="A20" s="11" t="n">
        <v>8</v>
      </c>
      <c r="B20" s="11" t="n">
        <v>10</v>
      </c>
      <c r="C20" s="11" t="n">
        <v>80</v>
      </c>
      <c r="D20" s="11" t="n">
        <v>25</v>
      </c>
      <c r="E20" s="12" t="n">
        <v>0.3</v>
      </c>
      <c r="F20" s="12" t="n">
        <v>1.7039</v>
      </c>
      <c r="G20" s="11" t="n">
        <v>58</v>
      </c>
    </row>
    <row r="21">
      <c r="A21" s="13" t="n">
        <v>8</v>
      </c>
      <c r="B21" s="13" t="n">
        <v>20</v>
      </c>
      <c r="C21" s="13" t="n">
        <v>160</v>
      </c>
      <c r="D21" s="13" t="n">
        <v>1</v>
      </c>
      <c r="E21" s="14" t="n">
        <v>0.3</v>
      </c>
      <c r="F21" s="14" t="n">
        <v>1.7354</v>
      </c>
      <c r="G21" s="13" t="n">
        <v>30</v>
      </c>
    </row>
    <row r="22">
      <c r="A22" s="11" t="n">
        <v>8</v>
      </c>
      <c r="B22" s="11" t="n">
        <v>30</v>
      </c>
      <c r="C22" s="11" t="n">
        <v>240</v>
      </c>
      <c r="D22" s="11" t="n">
        <v>25</v>
      </c>
      <c r="E22" s="12" t="n">
        <v>0.3</v>
      </c>
      <c r="F22" s="12" t="n">
        <v>1.7039</v>
      </c>
      <c r="G22" s="11" t="n">
        <v>186</v>
      </c>
    </row>
    <row r="23">
      <c r="A23" s="13" t="n">
        <v>8</v>
      </c>
      <c r="B23" s="13" t="n">
        <v>40</v>
      </c>
      <c r="C23" s="13" t="n">
        <v>320</v>
      </c>
      <c r="D23" s="13" t="n">
        <v>1</v>
      </c>
      <c r="E23" s="14" t="n">
        <v>0.3</v>
      </c>
      <c r="F23" s="14" t="n">
        <v>1.7354</v>
      </c>
      <c r="G23" s="13" t="n">
        <v>136</v>
      </c>
    </row>
    <row r="24">
      <c r="A24" s="13" t="n">
        <v>8</v>
      </c>
      <c r="B24" s="13" t="n">
        <v>50</v>
      </c>
      <c r="C24" s="13" t="n">
        <v>400</v>
      </c>
      <c r="D24" s="13" t="n">
        <v>1</v>
      </c>
      <c r="E24" s="14" t="n">
        <v>0.3</v>
      </c>
      <c r="F24" s="14" t="n">
        <v>1.7354</v>
      </c>
      <c r="G24" s="13" t="n">
        <v>194</v>
      </c>
    </row>
    <row r="25">
      <c r="A25" s="11" t="n">
        <v>10</v>
      </c>
      <c r="B25" s="11" t="n">
        <v>10</v>
      </c>
      <c r="C25" s="11" t="n">
        <v>100</v>
      </c>
      <c r="D25" s="11" t="n">
        <v>25</v>
      </c>
      <c r="E25" s="12" t="n">
        <v>0.3</v>
      </c>
      <c r="F25" s="12" t="n">
        <v>1.7039</v>
      </c>
      <c r="G25" s="11" t="n">
        <v>69</v>
      </c>
    </row>
    <row r="26">
      <c r="A26" s="13" t="n">
        <v>10</v>
      </c>
      <c r="B26" s="13" t="n">
        <v>20</v>
      </c>
      <c r="C26" s="13" t="n">
        <v>200</v>
      </c>
      <c r="D26" s="13" t="n">
        <v>1</v>
      </c>
      <c r="E26" s="14" t="n">
        <v>0.3</v>
      </c>
      <c r="F26" s="14" t="n">
        <v>1.7354</v>
      </c>
      <c r="G26" s="13" t="n">
        <v>40</v>
      </c>
    </row>
    <row r="27">
      <c r="A27" s="13" t="n">
        <v>10</v>
      </c>
      <c r="B27" s="13" t="n">
        <v>30</v>
      </c>
      <c r="C27" s="13" t="n">
        <v>300</v>
      </c>
      <c r="D27" s="13" t="n">
        <v>1</v>
      </c>
      <c r="E27" s="14" t="n">
        <v>0.3</v>
      </c>
      <c r="F27" s="14" t="n">
        <v>1.7354</v>
      </c>
      <c r="G27" s="13" t="n">
        <v>57</v>
      </c>
    </row>
    <row r="28">
      <c r="A28" s="11" t="n">
        <v>10</v>
      </c>
      <c r="B28" s="11" t="n">
        <v>40</v>
      </c>
      <c r="C28" s="11" t="n">
        <v>400</v>
      </c>
      <c r="D28" s="11" t="n">
        <v>25</v>
      </c>
      <c r="E28" s="12" t="n">
        <v>0.3</v>
      </c>
      <c r="F28" s="12" t="n">
        <v>1.7039</v>
      </c>
      <c r="G28" s="11" t="n">
        <v>658</v>
      </c>
    </row>
    <row r="29">
      <c r="A29" s="11" t="n">
        <v>10</v>
      </c>
      <c r="B29" s="11" t="n">
        <v>50</v>
      </c>
      <c r="C29" s="11" t="n">
        <v>500</v>
      </c>
      <c r="D29" s="11" t="n">
        <v>25</v>
      </c>
      <c r="E29" s="12" t="n">
        <v>0.3</v>
      </c>
      <c r="F29" s="12" t="n">
        <v>1.7039</v>
      </c>
      <c r="G29" s="11" t="n">
        <v>399</v>
      </c>
    </row>
    <row r="31">
      <c r="A31" s="5" t="inlineStr">
        <is>
          <t>Matriz de aptitudes F (filas: partículas, columnas: iteraciones)</t>
        </is>
      </c>
    </row>
    <row r="32">
      <c r="A32" s="10" t="inlineStr">
        <is>
          <t>n \ T</t>
        </is>
      </c>
      <c r="B32" s="10" t="inlineStr">
        <is>
          <t>T = 10</t>
        </is>
      </c>
      <c r="C32" s="10" t="inlineStr">
        <is>
          <t>T = 20</t>
        </is>
      </c>
      <c r="D32" s="10" t="inlineStr">
        <is>
          <t>T = 30</t>
        </is>
      </c>
      <c r="E32" s="10" t="inlineStr">
        <is>
          <t>T = 40</t>
        </is>
      </c>
      <c r="F32" s="10" t="inlineStr">
        <is>
          <t>T = 50</t>
        </is>
      </c>
    </row>
    <row r="33">
      <c r="A33" s="15" t="inlineStr">
        <is>
          <t>n = 2</t>
        </is>
      </c>
      <c r="B33" s="12" t="n">
        <v>1.6988</v>
      </c>
      <c r="C33" s="14" t="n">
        <v>1.7354</v>
      </c>
      <c r="D33" s="12" t="n">
        <v>1.7039</v>
      </c>
      <c r="E33" s="14" t="n">
        <v>1.7354</v>
      </c>
      <c r="F33" s="14" t="n">
        <v>1.7354</v>
      </c>
    </row>
    <row r="34">
      <c r="A34" s="15" t="inlineStr">
        <is>
          <t>n = 4</t>
        </is>
      </c>
      <c r="B34" s="14" t="n">
        <v>1.7354</v>
      </c>
      <c r="C34" s="12" t="n">
        <v>1.7039</v>
      </c>
      <c r="D34" s="14" t="n">
        <v>1.7354</v>
      </c>
      <c r="E34" s="14" t="n">
        <v>1.7354</v>
      </c>
      <c r="F34" s="14" t="n">
        <v>1.7354</v>
      </c>
    </row>
    <row r="35">
      <c r="A35" s="15" t="inlineStr">
        <is>
          <t>n = 6</t>
        </is>
      </c>
      <c r="B35" s="14" t="n">
        <v>1.7354</v>
      </c>
      <c r="C35" s="14" t="n">
        <v>1.7354</v>
      </c>
      <c r="D35" s="14" t="n">
        <v>1.7354</v>
      </c>
      <c r="E35" s="14" t="n">
        <v>1.7354</v>
      </c>
      <c r="F35" s="14" t="n">
        <v>1.7354</v>
      </c>
    </row>
    <row r="36">
      <c r="A36" s="15" t="inlineStr">
        <is>
          <t>n = 8</t>
        </is>
      </c>
      <c r="B36" s="12" t="n">
        <v>1.7039</v>
      </c>
      <c r="C36" s="14" t="n">
        <v>1.7354</v>
      </c>
      <c r="D36" s="12" t="n">
        <v>1.7039</v>
      </c>
      <c r="E36" s="14" t="n">
        <v>1.7354</v>
      </c>
      <c r="F36" s="14" t="n">
        <v>1.7354</v>
      </c>
    </row>
    <row r="37">
      <c r="A37" s="15" t="inlineStr">
        <is>
          <t>n = 10</t>
        </is>
      </c>
      <c r="B37" s="12" t="n">
        <v>1.7039</v>
      </c>
      <c r="C37" s="14" t="n">
        <v>1.7354</v>
      </c>
      <c r="D37" s="14" t="n">
        <v>1.7354</v>
      </c>
      <c r="E37" s="12" t="n">
        <v>1.7039</v>
      </c>
      <c r="F37" s="12" t="n">
        <v>1.7039</v>
      </c>
    </row>
    <row r="39">
      <c r="A39" s="7" t="inlineStr">
        <is>
          <t>Lectura: n = 2 cae en el óptimo local r = 1 en 2 de 5 corridas; con n = 10 y T &gt;= 30 el óptimo global (r = 25, m ≈ 0,07) se alcanza de forma consistente.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8.5" customWidth="1" min="2" max="2"/>
    <col width="8.5" customWidth="1" min="3" max="3"/>
    <col width="8.5" customWidth="1" min="4" max="4"/>
    <col width="8.5" customWidth="1" min="5" max="5"/>
    <col width="8.5" customWidth="1" min="6" max="6"/>
    <col width="8.5" customWidth="1" min="7" max="7"/>
    <col width="8.5" customWidth="1" min="8" max="8"/>
    <col width="8.5" customWidth="1" min="9" max="9"/>
    <col width="8.5" customWidth="1" min="10" max="10"/>
    <col width="8.5" customWidth="1" min="11" max="11"/>
    <col width="8.5" customWidth="1" min="12" max="12"/>
    <col width="8.5" customWidth="1" min="13" max="13"/>
  </cols>
  <sheetData>
    <row r="1">
      <c r="A1" s="1" t="inlineStr">
        <is>
          <t>Benchmark — 7 métodos × nueve métricas (promedio de 20 pares TNO)</t>
        </is>
      </c>
    </row>
    <row r="2">
      <c r="A2" s="2" t="inlineStr">
        <is>
          <t>Negrita = mejor de la columna (todas las métricas de tipo «mayor es mejor»).</t>
        </is>
      </c>
    </row>
    <row r="4">
      <c r="A4" s="10" t="inlineStr">
        <is>
          <t>Método</t>
        </is>
      </c>
      <c r="B4" s="10" t="inlineStr">
        <is>
          <t>EN ↑</t>
        </is>
      </c>
      <c r="C4" s="10" t="inlineStr">
        <is>
          <t>SD ↑</t>
        </is>
      </c>
      <c r="D4" s="10" t="inlineStr">
        <is>
          <t>FE ↑</t>
        </is>
      </c>
      <c r="E4" s="10" t="inlineStr">
        <is>
          <t>MG ↑</t>
        </is>
      </c>
      <c r="F4" s="10" t="inlineStr">
        <is>
          <t>MI_vis ↑</t>
        </is>
      </c>
      <c r="G4" s="10" t="inlineStr">
        <is>
          <t>MI_ir ↑</t>
        </is>
      </c>
      <c r="H4" s="10" t="inlineStr">
        <is>
          <t>SF ↑</t>
        </is>
      </c>
      <c r="I4" s="10" t="inlineStr">
        <is>
          <t>SSIM ↑</t>
        </is>
      </c>
      <c r="J4" s="10" t="inlineStr">
        <is>
          <t>PSNR ↑</t>
        </is>
      </c>
    </row>
    <row r="5">
      <c r="A5" s="9" t="inlineStr">
        <is>
          <t>Pirámide de Laplace (LP)</t>
        </is>
      </c>
      <c r="B5" s="16" t="n">
        <v>6.835</v>
      </c>
      <c r="C5" s="17" t="n">
        <v>0.1548</v>
      </c>
      <c r="D5" s="16" t="n">
        <v>1.0792</v>
      </c>
      <c r="E5" s="16" t="n">
        <v>0.0248</v>
      </c>
      <c r="F5" s="17" t="n">
        <v>2.1183</v>
      </c>
      <c r="G5" s="17" t="n">
        <v>1.0717</v>
      </c>
      <c r="H5" s="16" t="n">
        <v>13.04</v>
      </c>
      <c r="I5" s="16" t="n">
        <v>0.7208</v>
      </c>
      <c r="J5" s="16" t="n">
        <v>20.2687</v>
      </c>
    </row>
    <row r="6">
      <c r="A6" s="9" t="inlineStr">
        <is>
          <t>Ratio of low-pass Pyramid (RP)</t>
        </is>
      </c>
      <c r="B6" s="16" t="n">
        <v>6.8285</v>
      </c>
      <c r="C6" s="16" t="n">
        <v>0.1304</v>
      </c>
      <c r="D6" s="16" t="n">
        <v>1.079</v>
      </c>
      <c r="E6" s="16" t="n">
        <v>0.0269</v>
      </c>
      <c r="F6" s="16" t="n">
        <v>1.1698</v>
      </c>
      <c r="G6" s="16" t="n">
        <v>0.8807</v>
      </c>
      <c r="H6" s="16" t="n">
        <v>13.3376</v>
      </c>
      <c r="I6" s="16" t="n">
        <v>0.7212</v>
      </c>
      <c r="J6" s="16" t="n">
        <v>21.9655</v>
      </c>
    </row>
    <row r="7">
      <c r="A7" s="9" t="inlineStr">
        <is>
          <t>Wavelet discreta (DWT)</t>
        </is>
      </c>
      <c r="B7" s="16" t="n">
        <v>6.7002</v>
      </c>
      <c r="C7" s="16" t="n">
        <v>0.1199</v>
      </c>
      <c r="D7" s="16" t="n">
        <v>1.0586</v>
      </c>
      <c r="E7" s="16" t="n">
        <v>0.027</v>
      </c>
      <c r="F7" s="16" t="n">
        <v>1.2846</v>
      </c>
      <c r="G7" s="16" t="n">
        <v>0.8809</v>
      </c>
      <c r="H7" s="16" t="n">
        <v>13.9341</v>
      </c>
      <c r="I7" s="16" t="n">
        <v>0.7163</v>
      </c>
      <c r="J7" s="16" t="n">
        <v>22.7767</v>
      </c>
    </row>
    <row r="8">
      <c r="A8" s="9" t="inlineStr">
        <is>
          <t>Dual-Tree Complex Wavelet (DTCWT)</t>
        </is>
      </c>
      <c r="B8" s="16" t="n">
        <v>6.706</v>
      </c>
      <c r="C8" s="16" t="n">
        <v>0.1205</v>
      </c>
      <c r="D8" s="16" t="n">
        <v>1.0596</v>
      </c>
      <c r="E8" s="16" t="n">
        <v>0.0251</v>
      </c>
      <c r="F8" s="16" t="n">
        <v>1.2887</v>
      </c>
      <c r="G8" s="16" t="n">
        <v>0.8908</v>
      </c>
      <c r="H8" s="16" t="n">
        <v>13.0266</v>
      </c>
      <c r="I8" s="17" t="n">
        <v>0.7386</v>
      </c>
      <c r="J8" s="16" t="n">
        <v>22.7857</v>
      </c>
    </row>
    <row r="9">
      <c r="A9" s="9" t="inlineStr">
        <is>
          <t>Curvelet (CVT)</t>
        </is>
      </c>
      <c r="B9" s="16" t="n">
        <v>6.6645</v>
      </c>
      <c r="C9" s="16" t="n">
        <v>0.1167</v>
      </c>
      <c r="D9" s="16" t="n">
        <v>1.0529</v>
      </c>
      <c r="E9" s="16" t="n">
        <v>0.0256</v>
      </c>
      <c r="F9" s="16" t="n">
        <v>1.3038</v>
      </c>
      <c r="G9" s="16" t="n">
        <v>0.8843</v>
      </c>
      <c r="H9" s="16" t="n">
        <v>13.151</v>
      </c>
      <c r="I9" s="16" t="n">
        <v>0.7305</v>
      </c>
      <c r="J9" s="17" t="n">
        <v>22.8375</v>
      </c>
    </row>
    <row r="10">
      <c r="A10" s="9" t="inlineStr">
        <is>
          <t>Top-Hat clásico</t>
        </is>
      </c>
      <c r="B10" s="16" t="n">
        <v>6.9334</v>
      </c>
      <c r="C10" s="16" t="n">
        <v>0.1387</v>
      </c>
      <c r="D10" s="16" t="n">
        <v>1.0961</v>
      </c>
      <c r="E10" s="17" t="n">
        <v>0.0473</v>
      </c>
      <c r="F10" s="16" t="n">
        <v>0.8722</v>
      </c>
      <c r="G10" s="16" t="n">
        <v>0.5864</v>
      </c>
      <c r="H10" s="17" t="n">
        <v>22.8554</v>
      </c>
      <c r="I10" s="16" t="n">
        <v>0.5780999999999999</v>
      </c>
      <c r="J10" s="16" t="n">
        <v>17.4947</v>
      </c>
    </row>
    <row r="11">
      <c r="A11" s="8" t="inlineStr">
        <is>
          <t>PROPUESTA NOVEDOSA (r=25, m=0,30)</t>
        </is>
      </c>
      <c r="B11" s="17" t="n">
        <v>6.9888</v>
      </c>
      <c r="C11" s="17" t="n">
        <v>0.1477</v>
      </c>
      <c r="D11" s="17" t="n">
        <v>1.1045</v>
      </c>
      <c r="E11" s="17" t="n">
        <v>0.0353</v>
      </c>
      <c r="F11" s="17" t="n">
        <v>0.9617</v>
      </c>
      <c r="G11" s="17" t="n">
        <v>0.6708</v>
      </c>
      <c r="H11" s="17" t="n">
        <v>17.3435</v>
      </c>
      <c r="I11" s="17" t="n">
        <v>0.6677</v>
      </c>
      <c r="J11" s="17" t="n">
        <v>17.2546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46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</cols>
  <sheetData>
    <row r="1">
      <c r="A1" s="1" t="inlineStr">
        <is>
          <t>Benchmark escena por escena — los 7 métodos en cada uno de los 20 pares del TNO</t>
        </is>
      </c>
    </row>
    <row r="2">
      <c r="A2" s="2" t="inlineStr">
        <is>
          <t>En negrita el mejor valor de cada métrica dentro de cada escena. Todas las métricas son de tipo «mayor es mejor». Equivale a las Tablas 2a-2e del informe de avances, ampliado a las nueve métricas.</t>
        </is>
      </c>
    </row>
    <row r="4">
      <c r="A4" s="10" t="inlineStr">
        <is>
          <t>Escena</t>
        </is>
      </c>
      <c r="B4" s="10" t="inlineStr">
        <is>
          <t>Método</t>
        </is>
      </c>
      <c r="C4" s="10" t="inlineStr">
        <is>
          <t>EN</t>
        </is>
      </c>
      <c r="D4" s="10" t="inlineStr">
        <is>
          <t>SD</t>
        </is>
      </c>
      <c r="E4" s="10" t="inlineStr">
        <is>
          <t>FE</t>
        </is>
      </c>
      <c r="F4" s="10" t="inlineStr">
        <is>
          <t>MG</t>
        </is>
      </c>
      <c r="G4" s="10" t="inlineStr">
        <is>
          <t>MI_vis</t>
        </is>
      </c>
      <c r="H4" s="10" t="inlineStr">
        <is>
          <t>MI_ir</t>
        </is>
      </c>
      <c r="I4" s="10" t="inlineStr">
        <is>
          <t>SF</t>
        </is>
      </c>
      <c r="J4" s="10" t="inlineStr">
        <is>
          <t>SSIM</t>
        </is>
      </c>
      <c r="K4" s="10" t="inlineStr">
        <is>
          <t>PSNR</t>
        </is>
      </c>
    </row>
    <row r="5">
      <c r="A5" s="8" t="inlineStr">
        <is>
          <t>APC_1_view_1_fk_06_005</t>
        </is>
      </c>
      <c r="B5" s="9" t="inlineStr">
        <is>
          <t>Pirámide de Laplace (LP)</t>
        </is>
      </c>
      <c r="C5" s="18" t="n">
        <v>6.59626</v>
      </c>
      <c r="D5" s="18" t="n">
        <v>0.10543</v>
      </c>
      <c r="E5" s="18" t="n">
        <v>1.22565</v>
      </c>
      <c r="F5" s="18" t="n">
        <v>0.02404</v>
      </c>
      <c r="G5" s="19" t="n">
        <v>1.37062</v>
      </c>
      <c r="H5" s="19" t="n">
        <v>1.10413</v>
      </c>
      <c r="I5" s="18" t="n">
        <v>13.8419</v>
      </c>
      <c r="J5" s="18" t="n">
        <v>0.72157</v>
      </c>
      <c r="K5" s="18" t="n">
        <v>17.56691</v>
      </c>
    </row>
    <row r="6">
      <c r="A6" s="9" t="inlineStr"/>
      <c r="B6" s="9" t="inlineStr">
        <is>
          <t>Ratio of low-pass Pyramid (RP)</t>
        </is>
      </c>
      <c r="C6" s="18" t="n">
        <v>6.70787</v>
      </c>
      <c r="D6" s="18" t="n">
        <v>0.1081</v>
      </c>
      <c r="E6" s="18" t="n">
        <v>1.24639</v>
      </c>
      <c r="F6" s="18" t="n">
        <v>0.02428</v>
      </c>
      <c r="G6" s="18" t="n">
        <v>0.67064</v>
      </c>
      <c r="H6" s="18" t="n">
        <v>1.00893</v>
      </c>
      <c r="I6" s="18" t="n">
        <v>14.84247</v>
      </c>
      <c r="J6" s="19" t="n">
        <v>0.74546</v>
      </c>
      <c r="K6" s="18" t="n">
        <v>19.84633</v>
      </c>
    </row>
    <row r="7">
      <c r="A7" s="9" t="inlineStr"/>
      <c r="B7" s="9" t="inlineStr">
        <is>
          <t>Wavelet discreta (DWT)</t>
        </is>
      </c>
      <c r="C7" s="18" t="n">
        <v>6.55114</v>
      </c>
      <c r="D7" s="18" t="n">
        <v>0.09805999999999999</v>
      </c>
      <c r="E7" s="18" t="n">
        <v>1.21727</v>
      </c>
      <c r="F7" s="18" t="n">
        <v>0.02617</v>
      </c>
      <c r="G7" s="18" t="n">
        <v>0.84788</v>
      </c>
      <c r="H7" s="18" t="n">
        <v>0.83345</v>
      </c>
      <c r="I7" s="18" t="n">
        <v>15.28485</v>
      </c>
      <c r="J7" s="18" t="n">
        <v>0.71926</v>
      </c>
      <c r="K7" s="18" t="n">
        <v>20.06718</v>
      </c>
    </row>
    <row r="8">
      <c r="A8" s="9" t="inlineStr"/>
      <c r="B8" s="9" t="inlineStr">
        <is>
          <t>Dual-Tree Complex Wavelet (DTCWT)</t>
        </is>
      </c>
      <c r="C8" s="18" t="n">
        <v>6.55078</v>
      </c>
      <c r="D8" s="18" t="n">
        <v>0.09895</v>
      </c>
      <c r="E8" s="18" t="n">
        <v>1.2172</v>
      </c>
      <c r="F8" s="18" t="n">
        <v>0.02431</v>
      </c>
      <c r="G8" s="18" t="n">
        <v>0.78471</v>
      </c>
      <c r="H8" s="18" t="n">
        <v>0.90194</v>
      </c>
      <c r="I8" s="18" t="n">
        <v>14.4637</v>
      </c>
      <c r="J8" s="18" t="n">
        <v>0.7418400000000001</v>
      </c>
      <c r="K8" s="18" t="n">
        <v>20.07229</v>
      </c>
    </row>
    <row r="9">
      <c r="A9" s="9" t="inlineStr"/>
      <c r="B9" s="9" t="inlineStr">
        <is>
          <t>Curvelet (CVT)</t>
        </is>
      </c>
      <c r="C9" s="18" t="n">
        <v>6.52192</v>
      </c>
      <c r="D9" s="18" t="n">
        <v>0.09655</v>
      </c>
      <c r="E9" s="18" t="n">
        <v>1.21184</v>
      </c>
      <c r="F9" s="18" t="n">
        <v>0.02503</v>
      </c>
      <c r="G9" s="18" t="n">
        <v>0.87385</v>
      </c>
      <c r="H9" s="18" t="n">
        <v>0.83724</v>
      </c>
      <c r="I9" s="18" t="n">
        <v>14.82389</v>
      </c>
      <c r="J9" s="18" t="n">
        <v>0.73227</v>
      </c>
      <c r="K9" s="19" t="n">
        <v>20.11699</v>
      </c>
    </row>
    <row r="10">
      <c r="A10" s="9" t="inlineStr"/>
      <c r="B10" s="9" t="inlineStr">
        <is>
          <t>Top-Hat clásico</t>
        </is>
      </c>
      <c r="C10" s="18" t="n">
        <v>6.82114</v>
      </c>
      <c r="D10" s="18" t="n">
        <v>0.11995</v>
      </c>
      <c r="E10" s="18" t="n">
        <v>1.26743</v>
      </c>
      <c r="F10" s="19" t="n">
        <v>0.04392</v>
      </c>
      <c r="G10" s="18" t="n">
        <v>0.54191</v>
      </c>
      <c r="H10" s="18" t="n">
        <v>0.64523</v>
      </c>
      <c r="I10" s="19" t="n">
        <v>22.94585</v>
      </c>
      <c r="J10" s="18" t="n">
        <v>0.58547</v>
      </c>
      <c r="K10" s="18" t="n">
        <v>19.008</v>
      </c>
    </row>
    <row r="11">
      <c r="A11" s="9" t="inlineStr"/>
      <c r="B11" s="8" t="inlineStr">
        <is>
          <t>PROPUESTA NOVEDOSA (r=25, m=0,30)</t>
        </is>
      </c>
      <c r="C11" s="19" t="n">
        <v>6.86487</v>
      </c>
      <c r="D11" s="19" t="n">
        <v>0.12581</v>
      </c>
      <c r="E11" s="19" t="n">
        <v>1.27556</v>
      </c>
      <c r="F11" s="18" t="n">
        <v>0.03393</v>
      </c>
      <c r="G11" s="18" t="n">
        <v>0.59674</v>
      </c>
      <c r="H11" s="18" t="n">
        <v>0.90354</v>
      </c>
      <c r="I11" s="18" t="n">
        <v>19.00929</v>
      </c>
      <c r="J11" s="18" t="n">
        <v>0.6734</v>
      </c>
      <c r="K11" s="18" t="n">
        <v>18.97018</v>
      </c>
    </row>
    <row r="12">
      <c r="A12" s="8" t="inlineStr">
        <is>
          <t>APC_1_view_2_fk_ref_01_005</t>
        </is>
      </c>
      <c r="B12" s="9" t="inlineStr">
        <is>
          <t>Pirámide de Laplace (LP)</t>
        </is>
      </c>
      <c r="C12" s="18" t="n">
        <v>7.01095</v>
      </c>
      <c r="D12" s="18" t="n">
        <v>0.13824</v>
      </c>
      <c r="E12" s="18" t="n">
        <v>1.15038</v>
      </c>
      <c r="F12" s="18" t="n">
        <v>0.02327</v>
      </c>
      <c r="G12" s="19" t="n">
        <v>2.31993</v>
      </c>
      <c r="H12" s="19" t="n">
        <v>0.99316</v>
      </c>
      <c r="I12" s="18" t="n">
        <v>13.73683</v>
      </c>
      <c r="J12" s="18" t="n">
        <v>0.7792</v>
      </c>
      <c r="K12" s="18" t="n">
        <v>18.63797</v>
      </c>
    </row>
    <row r="13">
      <c r="A13" s="9" t="inlineStr"/>
      <c r="B13" s="9" t="inlineStr">
        <is>
          <t>Ratio of low-pass Pyramid (RP)</t>
        </is>
      </c>
      <c r="C13" s="18" t="n">
        <v>6.82976</v>
      </c>
      <c r="D13" s="18" t="n">
        <v>0.1175</v>
      </c>
      <c r="E13" s="18" t="n">
        <v>1.12065</v>
      </c>
      <c r="F13" s="18" t="n">
        <v>0.0225</v>
      </c>
      <c r="G13" s="18" t="n">
        <v>1.26457</v>
      </c>
      <c r="H13" s="18" t="n">
        <v>0.91343</v>
      </c>
      <c r="I13" s="18" t="n">
        <v>12.52108</v>
      </c>
      <c r="J13" s="19" t="n">
        <v>0.80108</v>
      </c>
      <c r="K13" s="18" t="n">
        <v>21.16004</v>
      </c>
    </row>
    <row r="14">
      <c r="A14" s="9" t="inlineStr"/>
      <c r="B14" s="9" t="inlineStr">
        <is>
          <t>Wavelet discreta (DWT)</t>
        </is>
      </c>
      <c r="C14" s="18" t="n">
        <v>6.74217</v>
      </c>
      <c r="D14" s="18" t="n">
        <v>0.11312</v>
      </c>
      <c r="E14" s="18" t="n">
        <v>1.10628</v>
      </c>
      <c r="F14" s="18" t="n">
        <v>0.02465</v>
      </c>
      <c r="G14" s="18" t="n">
        <v>1.4218</v>
      </c>
      <c r="H14" s="18" t="n">
        <v>0.80243</v>
      </c>
      <c r="I14" s="18" t="n">
        <v>14.25939</v>
      </c>
      <c r="J14" s="18" t="n">
        <v>0.77195</v>
      </c>
      <c r="K14" s="18" t="n">
        <v>21.22357</v>
      </c>
    </row>
    <row r="15">
      <c r="A15" s="9" t="inlineStr"/>
      <c r="B15" s="9" t="inlineStr">
        <is>
          <t>Dual-Tree Complex Wavelet (DTCWT)</t>
        </is>
      </c>
      <c r="C15" s="18" t="n">
        <v>6.74577</v>
      </c>
      <c r="D15" s="18" t="n">
        <v>0.11364</v>
      </c>
      <c r="E15" s="18" t="n">
        <v>1.10687</v>
      </c>
      <c r="F15" s="18" t="n">
        <v>0.02322</v>
      </c>
      <c r="G15" s="18" t="n">
        <v>1.42365</v>
      </c>
      <c r="H15" s="18" t="n">
        <v>0.8287600000000001</v>
      </c>
      <c r="I15" s="18" t="n">
        <v>13.75424</v>
      </c>
      <c r="J15" s="18" t="n">
        <v>0.79389</v>
      </c>
      <c r="K15" s="18" t="n">
        <v>21.23519</v>
      </c>
    </row>
    <row r="16">
      <c r="A16" s="9" t="inlineStr"/>
      <c r="B16" s="9" t="inlineStr">
        <is>
          <t>Curvelet (CVT)</t>
        </is>
      </c>
      <c r="C16" s="18" t="n">
        <v>6.71961</v>
      </c>
      <c r="D16" s="18" t="n">
        <v>0.11169</v>
      </c>
      <c r="E16" s="18" t="n">
        <v>1.10258</v>
      </c>
      <c r="F16" s="18" t="n">
        <v>0.02365</v>
      </c>
      <c r="G16" s="18" t="n">
        <v>1.47255</v>
      </c>
      <c r="H16" s="18" t="n">
        <v>0.80554</v>
      </c>
      <c r="I16" s="18" t="n">
        <v>13.85716</v>
      </c>
      <c r="J16" s="18" t="n">
        <v>0.78609</v>
      </c>
      <c r="K16" s="19" t="n">
        <v>21.28882</v>
      </c>
    </row>
    <row r="17">
      <c r="A17" s="9" t="inlineStr"/>
      <c r="B17" s="9" t="inlineStr">
        <is>
          <t>Top-Hat clásico</t>
        </is>
      </c>
      <c r="C17" s="18" t="n">
        <v>6.94596</v>
      </c>
      <c r="D17" s="18" t="n">
        <v>0.13153</v>
      </c>
      <c r="E17" s="18" t="n">
        <v>1.13972</v>
      </c>
      <c r="F17" s="19" t="n">
        <v>0.04427</v>
      </c>
      <c r="G17" s="18" t="n">
        <v>1.02886</v>
      </c>
      <c r="H17" s="18" t="n">
        <v>0.69416</v>
      </c>
      <c r="I17" s="19" t="n">
        <v>23.16733</v>
      </c>
      <c r="J17" s="18" t="n">
        <v>0.61722</v>
      </c>
      <c r="K17" s="18" t="n">
        <v>19.97434</v>
      </c>
    </row>
    <row r="18">
      <c r="A18" s="9" t="inlineStr"/>
      <c r="B18" s="8" t="inlineStr">
        <is>
          <t>PROPUESTA NOVEDOSA (r=25, m=0,30)</t>
        </is>
      </c>
      <c r="C18" s="19" t="n">
        <v>7.04566</v>
      </c>
      <c r="D18" s="19" t="n">
        <v>0.14113</v>
      </c>
      <c r="E18" s="19" t="n">
        <v>1.15608</v>
      </c>
      <c r="F18" s="18" t="n">
        <v>0.03342</v>
      </c>
      <c r="G18" s="18" t="n">
        <v>1.07965</v>
      </c>
      <c r="H18" s="18" t="n">
        <v>0.78986</v>
      </c>
      <c r="I18" s="18" t="n">
        <v>18.7637</v>
      </c>
      <c r="J18" s="18" t="n">
        <v>0.70999</v>
      </c>
      <c r="K18" s="18" t="n">
        <v>19.92037</v>
      </c>
    </row>
    <row r="19">
      <c r="A19" s="8" t="inlineStr">
        <is>
          <t>APC_1_view_3_fk_ref_02_005</t>
        </is>
      </c>
      <c r="B19" s="9" t="inlineStr">
        <is>
          <t>Pirámide de Laplace (LP)</t>
        </is>
      </c>
      <c r="C19" s="18" t="n">
        <v>7.27903</v>
      </c>
      <c r="D19" s="18" t="n">
        <v>0.16285</v>
      </c>
      <c r="E19" s="18" t="n">
        <v>1.13346</v>
      </c>
      <c r="F19" s="18" t="n">
        <v>0.02808</v>
      </c>
      <c r="G19" s="19" t="n">
        <v>2.40099</v>
      </c>
      <c r="H19" s="19" t="n">
        <v>1.25369</v>
      </c>
      <c r="I19" s="18" t="n">
        <v>16.01441</v>
      </c>
      <c r="J19" s="18" t="n">
        <v>0.73543</v>
      </c>
      <c r="K19" s="18" t="n">
        <v>17.50153</v>
      </c>
    </row>
    <row r="20">
      <c r="A20" s="9" t="inlineStr"/>
      <c r="B20" s="9" t="inlineStr">
        <is>
          <t>Ratio of low-pass Pyramid (RP)</t>
        </is>
      </c>
      <c r="C20" s="18" t="n">
        <v>7.07216</v>
      </c>
      <c r="D20" s="18" t="n">
        <v>0.14605</v>
      </c>
      <c r="E20" s="18" t="n">
        <v>1.10125</v>
      </c>
      <c r="F20" s="18" t="n">
        <v>0.02713</v>
      </c>
      <c r="G20" s="18" t="n">
        <v>1.42345</v>
      </c>
      <c r="H20" s="18" t="n">
        <v>0.95009</v>
      </c>
      <c r="I20" s="18" t="n">
        <v>14.82921</v>
      </c>
      <c r="J20" s="19" t="n">
        <v>0.75941</v>
      </c>
      <c r="K20" s="18" t="n">
        <v>20.07295</v>
      </c>
    </row>
    <row r="21">
      <c r="A21" s="9" t="inlineStr"/>
      <c r="B21" s="9" t="inlineStr">
        <is>
          <t>Wavelet discreta (DWT)</t>
        </is>
      </c>
      <c r="C21" s="18" t="n">
        <v>7.03835</v>
      </c>
      <c r="D21" s="18" t="n">
        <v>0.14153</v>
      </c>
      <c r="E21" s="18" t="n">
        <v>1.09598</v>
      </c>
      <c r="F21" s="18" t="n">
        <v>0.02943</v>
      </c>
      <c r="G21" s="18" t="n">
        <v>1.59952</v>
      </c>
      <c r="H21" s="18" t="n">
        <v>0.9140200000000001</v>
      </c>
      <c r="I21" s="18" t="n">
        <v>16.61699</v>
      </c>
      <c r="J21" s="18" t="n">
        <v>0.73138</v>
      </c>
      <c r="K21" s="18" t="n">
        <v>20.10736</v>
      </c>
    </row>
    <row r="22">
      <c r="A22" s="9" t="inlineStr"/>
      <c r="B22" s="9" t="inlineStr">
        <is>
          <t>Dual-Tree Complex Wavelet (DTCWT)</t>
        </is>
      </c>
      <c r="C22" s="18" t="n">
        <v>7.02866</v>
      </c>
      <c r="D22" s="18" t="n">
        <v>0.14204</v>
      </c>
      <c r="E22" s="18" t="n">
        <v>1.09447</v>
      </c>
      <c r="F22" s="18" t="n">
        <v>0.02802</v>
      </c>
      <c r="G22" s="18" t="n">
        <v>1.59723</v>
      </c>
      <c r="H22" s="18" t="n">
        <v>0.9438800000000001</v>
      </c>
      <c r="I22" s="18" t="n">
        <v>16.05787</v>
      </c>
      <c r="J22" s="18" t="n">
        <v>0.75263</v>
      </c>
      <c r="K22" s="18" t="n">
        <v>20.1217</v>
      </c>
    </row>
    <row r="23">
      <c r="A23" s="9" t="inlineStr"/>
      <c r="B23" s="9" t="inlineStr">
        <is>
          <t>Curvelet (CVT)</t>
        </is>
      </c>
      <c r="C23" s="18" t="n">
        <v>7.02044</v>
      </c>
      <c r="D23" s="18" t="n">
        <v>0.14016</v>
      </c>
      <c r="E23" s="18" t="n">
        <v>1.09319</v>
      </c>
      <c r="F23" s="18" t="n">
        <v>0.02846</v>
      </c>
      <c r="G23" s="18" t="n">
        <v>1.65709</v>
      </c>
      <c r="H23" s="18" t="n">
        <v>0.91967</v>
      </c>
      <c r="I23" s="18" t="n">
        <v>16.16145</v>
      </c>
      <c r="J23" s="18" t="n">
        <v>0.74378</v>
      </c>
      <c r="K23" s="19" t="n">
        <v>20.16434</v>
      </c>
    </row>
    <row r="24">
      <c r="A24" s="9" t="inlineStr"/>
      <c r="B24" s="9" t="inlineStr">
        <is>
          <t>Top-Hat clásico</t>
        </is>
      </c>
      <c r="C24" s="18" t="n">
        <v>7.22029</v>
      </c>
      <c r="D24" s="18" t="n">
        <v>0.16178</v>
      </c>
      <c r="E24" s="18" t="n">
        <v>1.12431</v>
      </c>
      <c r="F24" s="19" t="n">
        <v>0.05453</v>
      </c>
      <c r="G24" s="18" t="n">
        <v>1.11745</v>
      </c>
      <c r="H24" s="18" t="n">
        <v>0.78359</v>
      </c>
      <c r="I24" s="19" t="n">
        <v>28.33557</v>
      </c>
      <c r="J24" s="18" t="n">
        <v>0.57646</v>
      </c>
      <c r="K24" s="18" t="n">
        <v>18.7199</v>
      </c>
    </row>
    <row r="25">
      <c r="A25" s="9" t="inlineStr"/>
      <c r="B25" s="8" t="inlineStr">
        <is>
          <t>PROPUESTA NOVEDOSA (r=25, m=0,30)</t>
        </is>
      </c>
      <c r="C25" s="19" t="n">
        <v>7.29509</v>
      </c>
      <c r="D25" s="19" t="n">
        <v>0.17055</v>
      </c>
      <c r="E25" s="19" t="n">
        <v>1.13596</v>
      </c>
      <c r="F25" s="18" t="n">
        <v>0.04076</v>
      </c>
      <c r="G25" s="18" t="n">
        <v>1.19779</v>
      </c>
      <c r="H25" s="18" t="n">
        <v>0.8427</v>
      </c>
      <c r="I25" s="18" t="n">
        <v>22.17859</v>
      </c>
      <c r="J25" s="18" t="n">
        <v>0.6657</v>
      </c>
      <c r="K25" s="18" t="n">
        <v>18.79566</v>
      </c>
    </row>
    <row r="26">
      <c r="A26" s="8" t="inlineStr">
        <is>
          <t>APC_3_view_1_fk_bar_06_005</t>
        </is>
      </c>
      <c r="B26" s="9" t="inlineStr">
        <is>
          <t>Pirámide de Laplace (LP)</t>
        </is>
      </c>
      <c r="C26" s="18" t="n">
        <v>6.66512</v>
      </c>
      <c r="D26" s="18" t="n">
        <v>0.10586</v>
      </c>
      <c r="E26" s="18" t="n">
        <v>1.22157</v>
      </c>
      <c r="F26" s="18" t="n">
        <v>0.02231</v>
      </c>
      <c r="G26" s="19" t="n">
        <v>1.39576</v>
      </c>
      <c r="H26" s="19" t="n">
        <v>1.49268</v>
      </c>
      <c r="I26" s="18" t="n">
        <v>13.47605</v>
      </c>
      <c r="J26" s="18" t="n">
        <v>0.80171</v>
      </c>
      <c r="K26" s="18" t="n">
        <v>21.61575</v>
      </c>
    </row>
    <row r="27">
      <c r="A27" s="9" t="inlineStr"/>
      <c r="B27" s="9" t="inlineStr">
        <is>
          <t>Ratio of low-pass Pyramid (RP)</t>
        </is>
      </c>
      <c r="C27" s="18" t="n">
        <v>6.67722</v>
      </c>
      <c r="D27" s="18" t="n">
        <v>0.10636</v>
      </c>
      <c r="E27" s="18" t="n">
        <v>1.22379</v>
      </c>
      <c r="F27" s="18" t="n">
        <v>0.02253</v>
      </c>
      <c r="G27" s="18" t="n">
        <v>0.974</v>
      </c>
      <c r="H27" s="18" t="n">
        <v>1.32316</v>
      </c>
      <c r="I27" s="18" t="n">
        <v>13.27877</v>
      </c>
      <c r="J27" s="19" t="n">
        <v>0.81403</v>
      </c>
      <c r="K27" s="18" t="n">
        <v>23.64721</v>
      </c>
    </row>
    <row r="28">
      <c r="A28" s="9" t="inlineStr"/>
      <c r="B28" s="9" t="inlineStr">
        <is>
          <t>Wavelet discreta (DWT)</t>
        </is>
      </c>
      <c r="C28" s="18" t="n">
        <v>6.56842</v>
      </c>
      <c r="D28" s="18" t="n">
        <v>0.09956</v>
      </c>
      <c r="E28" s="18" t="n">
        <v>1.20385</v>
      </c>
      <c r="F28" s="18" t="n">
        <v>0.02366</v>
      </c>
      <c r="G28" s="18" t="n">
        <v>1.07212</v>
      </c>
      <c r="H28" s="18" t="n">
        <v>1.19483</v>
      </c>
      <c r="I28" s="18" t="n">
        <v>13.9265</v>
      </c>
      <c r="J28" s="18" t="n">
        <v>0.78878</v>
      </c>
      <c r="K28" s="18" t="n">
        <v>23.82886</v>
      </c>
    </row>
    <row r="29">
      <c r="A29" s="9" t="inlineStr"/>
      <c r="B29" s="9" t="inlineStr">
        <is>
          <t>Dual-Tree Complex Wavelet (DTCWT)</t>
        </is>
      </c>
      <c r="C29" s="18" t="n">
        <v>6.5885</v>
      </c>
      <c r="D29" s="18" t="n">
        <v>0.10111</v>
      </c>
      <c r="E29" s="18" t="n">
        <v>1.20753</v>
      </c>
      <c r="F29" s="18" t="n">
        <v>0.02248</v>
      </c>
      <c r="G29" s="18" t="n">
        <v>1.04951</v>
      </c>
      <c r="H29" s="18" t="n">
        <v>1.264</v>
      </c>
      <c r="I29" s="18" t="n">
        <v>13.59053</v>
      </c>
      <c r="J29" s="18" t="n">
        <v>0.81198</v>
      </c>
      <c r="K29" s="18" t="n">
        <v>23.79344</v>
      </c>
    </row>
    <row r="30">
      <c r="A30" s="9" t="inlineStr"/>
      <c r="B30" s="9" t="inlineStr">
        <is>
          <t>Curvelet (CVT)</t>
        </is>
      </c>
      <c r="C30" s="18" t="n">
        <v>6.55155</v>
      </c>
      <c r="D30" s="18" t="n">
        <v>0.09838</v>
      </c>
      <c r="E30" s="18" t="n">
        <v>1.20075</v>
      </c>
      <c r="F30" s="18" t="n">
        <v>0.02289</v>
      </c>
      <c r="G30" s="18" t="n">
        <v>1.10686</v>
      </c>
      <c r="H30" s="18" t="n">
        <v>1.19972</v>
      </c>
      <c r="I30" s="18" t="n">
        <v>13.75293</v>
      </c>
      <c r="J30" s="18" t="n">
        <v>0.80233</v>
      </c>
      <c r="K30" s="19" t="n">
        <v>23.90218</v>
      </c>
    </row>
    <row r="31">
      <c r="A31" s="9" t="inlineStr"/>
      <c r="B31" s="9" t="inlineStr">
        <is>
          <t>Top-Hat clásico</t>
        </is>
      </c>
      <c r="C31" s="18" t="n">
        <v>6.85219</v>
      </c>
      <c r="D31" s="18" t="n">
        <v>0.12038</v>
      </c>
      <c r="E31" s="18" t="n">
        <v>1.25585</v>
      </c>
      <c r="F31" s="19" t="n">
        <v>0.04149</v>
      </c>
      <c r="G31" s="18" t="n">
        <v>0.85583</v>
      </c>
      <c r="H31" s="18" t="n">
        <v>0.9539800000000001</v>
      </c>
      <c r="I31" s="19" t="n">
        <v>22.1486</v>
      </c>
      <c r="J31" s="18" t="n">
        <v>0.63737</v>
      </c>
      <c r="K31" s="18" t="n">
        <v>21.82426</v>
      </c>
    </row>
    <row r="32">
      <c r="A32" s="9" t="inlineStr"/>
      <c r="B32" s="8" t="inlineStr">
        <is>
          <t>PROPUESTA NOVEDOSA (r=25, m=0,30)</t>
        </is>
      </c>
      <c r="C32" s="19" t="n">
        <v>6.94135</v>
      </c>
      <c r="D32" s="19" t="n">
        <v>0.13289</v>
      </c>
      <c r="E32" s="19" t="n">
        <v>1.2722</v>
      </c>
      <c r="F32" s="18" t="n">
        <v>0.03191</v>
      </c>
      <c r="G32" s="18" t="n">
        <v>0.88062</v>
      </c>
      <c r="H32" s="18" t="n">
        <v>1.13016</v>
      </c>
      <c r="I32" s="18" t="n">
        <v>18.32846</v>
      </c>
      <c r="J32" s="18" t="n">
        <v>0.73169</v>
      </c>
      <c r="K32" s="18" t="n">
        <v>21.22568</v>
      </c>
    </row>
    <row r="33">
      <c r="A33" s="8" t="inlineStr">
        <is>
          <t>APC_3_view_2_fk_NL_01_005</t>
        </is>
      </c>
      <c r="B33" s="9" t="inlineStr">
        <is>
          <t>Pirámide de Laplace (LP)</t>
        </is>
      </c>
      <c r="C33" s="19" t="n">
        <v>6.97201</v>
      </c>
      <c r="D33" s="19" t="n">
        <v>0.13962</v>
      </c>
      <c r="E33" s="19" t="n">
        <v>1.16701</v>
      </c>
      <c r="F33" s="18" t="n">
        <v>0.02046</v>
      </c>
      <c r="G33" s="19" t="n">
        <v>1.86818</v>
      </c>
      <c r="H33" s="19" t="n">
        <v>1.13328</v>
      </c>
      <c r="I33" s="18" t="n">
        <v>10.56835</v>
      </c>
      <c r="J33" s="18" t="n">
        <v>0.78215</v>
      </c>
      <c r="K33" s="18" t="n">
        <v>17.54086</v>
      </c>
    </row>
    <row r="34">
      <c r="A34" s="9" t="inlineStr"/>
      <c r="B34" s="9" t="inlineStr">
        <is>
          <t>Ratio of low-pass Pyramid (RP)</t>
        </is>
      </c>
      <c r="C34" s="18" t="n">
        <v>6.85787</v>
      </c>
      <c r="D34" s="18" t="n">
        <v>0.1295</v>
      </c>
      <c r="E34" s="18" t="n">
        <v>1.1479</v>
      </c>
      <c r="F34" s="18" t="n">
        <v>0.02122</v>
      </c>
      <c r="G34" s="18" t="n">
        <v>0.94994</v>
      </c>
      <c r="H34" s="18" t="n">
        <v>1.1245</v>
      </c>
      <c r="I34" s="18" t="n">
        <v>11.02087</v>
      </c>
      <c r="J34" s="18" t="n">
        <v>0.79539</v>
      </c>
      <c r="K34" s="18" t="n">
        <v>20.10916</v>
      </c>
    </row>
    <row r="35">
      <c r="A35" s="9" t="inlineStr"/>
      <c r="B35" s="9" t="inlineStr">
        <is>
          <t>Wavelet discreta (DWT)</t>
        </is>
      </c>
      <c r="C35" s="18" t="n">
        <v>6.7508</v>
      </c>
      <c r="D35" s="18" t="n">
        <v>0.12182</v>
      </c>
      <c r="E35" s="18" t="n">
        <v>1.12998</v>
      </c>
      <c r="F35" s="18" t="n">
        <v>0.02221</v>
      </c>
      <c r="G35" s="18" t="n">
        <v>1.22415</v>
      </c>
      <c r="H35" s="18" t="n">
        <v>1.01733</v>
      </c>
      <c r="I35" s="18" t="n">
        <v>11.46282</v>
      </c>
      <c r="J35" s="18" t="n">
        <v>0.77905</v>
      </c>
      <c r="K35" s="18" t="n">
        <v>20.28329</v>
      </c>
    </row>
    <row r="36">
      <c r="A36" s="9" t="inlineStr"/>
      <c r="B36" s="9" t="inlineStr">
        <is>
          <t>Dual-Tree Complex Wavelet (DTCWT)</t>
        </is>
      </c>
      <c r="C36" s="18" t="n">
        <v>6.74884</v>
      </c>
      <c r="D36" s="18" t="n">
        <v>0.1223</v>
      </c>
      <c r="E36" s="18" t="n">
        <v>1.12965</v>
      </c>
      <c r="F36" s="18" t="n">
        <v>0.02059</v>
      </c>
      <c r="G36" s="18" t="n">
        <v>1.20549</v>
      </c>
      <c r="H36" s="18" t="n">
        <v>1.04213</v>
      </c>
      <c r="I36" s="18" t="n">
        <v>10.68365</v>
      </c>
      <c r="J36" s="19" t="n">
        <v>0.8039500000000001</v>
      </c>
      <c r="K36" s="18" t="n">
        <v>20.29606</v>
      </c>
    </row>
    <row r="37">
      <c r="A37" s="9" t="inlineStr"/>
      <c r="B37" s="9" t="inlineStr">
        <is>
          <t>Curvelet (CVT)</t>
        </is>
      </c>
      <c r="C37" s="18" t="n">
        <v>6.72958</v>
      </c>
      <c r="D37" s="18" t="n">
        <v>0.12082</v>
      </c>
      <c r="E37" s="18" t="n">
        <v>1.12643</v>
      </c>
      <c r="F37" s="18" t="n">
        <v>0.02129</v>
      </c>
      <c r="G37" s="18" t="n">
        <v>1.2704</v>
      </c>
      <c r="H37" s="18" t="n">
        <v>1.02305</v>
      </c>
      <c r="I37" s="18" t="n">
        <v>10.99068</v>
      </c>
      <c r="J37" s="18" t="n">
        <v>0.7936</v>
      </c>
      <c r="K37" s="19" t="n">
        <v>20.32782</v>
      </c>
    </row>
    <row r="38">
      <c r="A38" s="9" t="inlineStr"/>
      <c r="B38" s="9" t="inlineStr">
        <is>
          <t>Top-Hat clásico</t>
        </is>
      </c>
      <c r="C38" s="18" t="n">
        <v>6.94621</v>
      </c>
      <c r="D38" s="18" t="n">
        <v>0.13545</v>
      </c>
      <c r="E38" s="18" t="n">
        <v>1.16269</v>
      </c>
      <c r="F38" s="19" t="n">
        <v>0.03917</v>
      </c>
      <c r="G38" s="18" t="n">
        <v>0.91278</v>
      </c>
      <c r="H38" s="18" t="n">
        <v>0.76545</v>
      </c>
      <c r="I38" s="19" t="n">
        <v>18.48379</v>
      </c>
      <c r="J38" s="18" t="n">
        <v>0.63209</v>
      </c>
      <c r="K38" s="18" t="n">
        <v>19.54804</v>
      </c>
    </row>
    <row r="39">
      <c r="A39" s="9" t="inlineStr"/>
      <c r="B39" s="8" t="inlineStr">
        <is>
          <t>PROPUESTA NOVEDOSA (r=25, m=0,30)</t>
        </is>
      </c>
      <c r="C39" s="18" t="n">
        <v>6.93056</v>
      </c>
      <c r="D39" s="18" t="n">
        <v>0.13882</v>
      </c>
      <c r="E39" s="18" t="n">
        <v>1.16007</v>
      </c>
      <c r="F39" s="18" t="n">
        <v>0.02917</v>
      </c>
      <c r="G39" s="18" t="n">
        <v>0.92591</v>
      </c>
      <c r="H39" s="18" t="n">
        <v>0.88712</v>
      </c>
      <c r="I39" s="18" t="n">
        <v>14.19098</v>
      </c>
      <c r="J39" s="18" t="n">
        <v>0.73046</v>
      </c>
      <c r="K39" s="18" t="n">
        <v>19.49656</v>
      </c>
    </row>
    <row r="40">
      <c r="A40" s="8" t="inlineStr">
        <is>
          <t>APC_3_view_3_fk_NL_05_005</t>
        </is>
      </c>
      <c r="B40" s="9" t="inlineStr">
        <is>
          <t>Pirámide de Laplace (LP)</t>
        </is>
      </c>
      <c r="C40" s="19" t="n">
        <v>7.15201</v>
      </c>
      <c r="D40" s="19" t="n">
        <v>0.16908</v>
      </c>
      <c r="E40" s="19" t="n">
        <v>1.24327</v>
      </c>
      <c r="F40" s="18" t="n">
        <v>0.02146</v>
      </c>
      <c r="G40" s="19" t="n">
        <v>2.14235</v>
      </c>
      <c r="H40" s="18" t="n">
        <v>0.93895</v>
      </c>
      <c r="I40" s="18" t="n">
        <v>9.45031</v>
      </c>
      <c r="J40" s="18" t="n">
        <v>0.74598</v>
      </c>
      <c r="K40" s="18" t="n">
        <v>15.69475</v>
      </c>
    </row>
    <row r="41">
      <c r="A41" s="9" t="inlineStr"/>
      <c r="B41" s="9" t="inlineStr">
        <is>
          <t>Ratio of low-pass Pyramid (RP)</t>
        </is>
      </c>
      <c r="C41" s="18" t="n">
        <v>7.03295</v>
      </c>
      <c r="D41" s="18" t="n">
        <v>0.13421</v>
      </c>
      <c r="E41" s="18" t="n">
        <v>1.22257</v>
      </c>
      <c r="F41" s="18" t="n">
        <v>0.02276</v>
      </c>
      <c r="G41" s="18" t="n">
        <v>1.02548</v>
      </c>
      <c r="H41" s="19" t="n">
        <v>1.03259</v>
      </c>
      <c r="I41" s="18" t="n">
        <v>10.21071</v>
      </c>
      <c r="J41" s="18" t="n">
        <v>0.75911</v>
      </c>
      <c r="K41" s="18" t="n">
        <v>18.36213</v>
      </c>
    </row>
    <row r="42">
      <c r="A42" s="9" t="inlineStr"/>
      <c r="B42" s="9" t="inlineStr">
        <is>
          <t>Wavelet discreta (DWT)</t>
        </is>
      </c>
      <c r="C42" s="18" t="n">
        <v>6.91258</v>
      </c>
      <c r="D42" s="18" t="n">
        <v>0.12629</v>
      </c>
      <c r="E42" s="18" t="n">
        <v>1.20164</v>
      </c>
      <c r="F42" s="18" t="n">
        <v>0.02366</v>
      </c>
      <c r="G42" s="18" t="n">
        <v>1.34597</v>
      </c>
      <c r="H42" s="18" t="n">
        <v>0.90465</v>
      </c>
      <c r="I42" s="18" t="n">
        <v>10.81506</v>
      </c>
      <c r="J42" s="18" t="n">
        <v>0.74317</v>
      </c>
      <c r="K42" s="18" t="n">
        <v>18.5076</v>
      </c>
    </row>
    <row r="43">
      <c r="A43" s="9" t="inlineStr"/>
      <c r="B43" s="9" t="inlineStr">
        <is>
          <t>Dual-Tree Complex Wavelet (DTCWT)</t>
        </is>
      </c>
      <c r="C43" s="18" t="n">
        <v>6.92429</v>
      </c>
      <c r="D43" s="18" t="n">
        <v>0.12643</v>
      </c>
      <c r="E43" s="18" t="n">
        <v>1.20368</v>
      </c>
      <c r="F43" s="18" t="n">
        <v>0.02152</v>
      </c>
      <c r="G43" s="18" t="n">
        <v>1.3121</v>
      </c>
      <c r="H43" s="18" t="n">
        <v>0.97314</v>
      </c>
      <c r="I43" s="18" t="n">
        <v>9.725989999999999</v>
      </c>
      <c r="J43" s="19" t="n">
        <v>0.7708700000000001</v>
      </c>
      <c r="K43" s="18" t="n">
        <v>18.5285</v>
      </c>
    </row>
    <row r="44">
      <c r="A44" s="9" t="inlineStr"/>
      <c r="B44" s="9" t="inlineStr">
        <is>
          <t>Curvelet (CVT)</t>
        </is>
      </c>
      <c r="C44" s="18" t="n">
        <v>6.89118</v>
      </c>
      <c r="D44" s="18" t="n">
        <v>0.12503</v>
      </c>
      <c r="E44" s="18" t="n">
        <v>1.19792</v>
      </c>
      <c r="F44" s="18" t="n">
        <v>0.0227</v>
      </c>
      <c r="G44" s="18" t="n">
        <v>1.40122</v>
      </c>
      <c r="H44" s="18" t="n">
        <v>0.91369</v>
      </c>
      <c r="I44" s="18" t="n">
        <v>10.20499</v>
      </c>
      <c r="J44" s="18" t="n">
        <v>0.75769</v>
      </c>
      <c r="K44" s="19" t="n">
        <v>18.54075</v>
      </c>
    </row>
    <row r="45">
      <c r="A45" s="9" t="inlineStr"/>
      <c r="B45" s="9" t="inlineStr">
        <is>
          <t>Top-Hat clásico</t>
        </is>
      </c>
      <c r="C45" s="18" t="n">
        <v>7.06944</v>
      </c>
      <c r="D45" s="18" t="n">
        <v>0.14056</v>
      </c>
      <c r="E45" s="18" t="n">
        <v>1.22891</v>
      </c>
      <c r="F45" s="19" t="n">
        <v>0.03996</v>
      </c>
      <c r="G45" s="18" t="n">
        <v>0.92539</v>
      </c>
      <c r="H45" s="18" t="n">
        <v>0.66939</v>
      </c>
      <c r="I45" s="19" t="n">
        <v>17.16422</v>
      </c>
      <c r="J45" s="18" t="n">
        <v>0.6188900000000001</v>
      </c>
      <c r="K45" s="18" t="n">
        <v>17.97383</v>
      </c>
    </row>
    <row r="46">
      <c r="A46" s="9" t="inlineStr"/>
      <c r="B46" s="8" t="inlineStr">
        <is>
          <t>PROPUESTA NOVEDOSA (r=25, m=0,30)</t>
        </is>
      </c>
      <c r="C46" s="18" t="n">
        <v>7.08189</v>
      </c>
      <c r="D46" s="18" t="n">
        <v>0.14442</v>
      </c>
      <c r="E46" s="18" t="n">
        <v>1.23108</v>
      </c>
      <c r="F46" s="18" t="n">
        <v>0.03029</v>
      </c>
      <c r="G46" s="18" t="n">
        <v>0.97851</v>
      </c>
      <c r="H46" s="18" t="n">
        <v>0.7826</v>
      </c>
      <c r="I46" s="18" t="n">
        <v>12.80877</v>
      </c>
      <c r="J46" s="18" t="n">
        <v>0.70773</v>
      </c>
      <c r="K46" s="18" t="n">
        <v>17.98693</v>
      </c>
    </row>
    <row r="47">
      <c r="A47" s="8" t="inlineStr">
        <is>
          <t>Athena_2_men_in_front_of_house_meting003</t>
        </is>
      </c>
      <c r="B47" s="9" t="inlineStr">
        <is>
          <t>Pirámide de Laplace (LP)</t>
        </is>
      </c>
      <c r="C47" s="18" t="n">
        <v>6.89303</v>
      </c>
      <c r="D47" s="19" t="n">
        <v>0.18155</v>
      </c>
      <c r="E47" s="18" t="n">
        <v>0.99552</v>
      </c>
      <c r="F47" s="18" t="n">
        <v>0.02527</v>
      </c>
      <c r="G47" s="19" t="n">
        <v>1.56809</v>
      </c>
      <c r="H47" s="19" t="n">
        <v>1.12427</v>
      </c>
      <c r="I47" s="18" t="n">
        <v>12.51811</v>
      </c>
      <c r="J47" s="18" t="n">
        <v>0.69325</v>
      </c>
      <c r="K47" s="18" t="n">
        <v>13.04707</v>
      </c>
    </row>
    <row r="48">
      <c r="A48" s="9" t="inlineStr"/>
      <c r="B48" s="9" t="inlineStr">
        <is>
          <t>Ratio of low-pass Pyramid (RP)</t>
        </is>
      </c>
      <c r="C48" s="18" t="n">
        <v>6.74675</v>
      </c>
      <c r="D48" s="18" t="n">
        <v>0.11726</v>
      </c>
      <c r="E48" s="18" t="n">
        <v>0.97439</v>
      </c>
      <c r="F48" s="18" t="n">
        <v>0.0281</v>
      </c>
      <c r="G48" s="18" t="n">
        <v>0.65319</v>
      </c>
      <c r="H48" s="18" t="n">
        <v>0.34643</v>
      </c>
      <c r="I48" s="18" t="n">
        <v>12.88288</v>
      </c>
      <c r="J48" s="18" t="n">
        <v>0.68789</v>
      </c>
      <c r="K48" s="18" t="n">
        <v>15.44294</v>
      </c>
    </row>
    <row r="49">
      <c r="A49" s="9" t="inlineStr"/>
      <c r="B49" s="9" t="inlineStr">
        <is>
          <t>Wavelet discreta (DWT)</t>
        </is>
      </c>
      <c r="C49" s="18" t="n">
        <v>6.66613</v>
      </c>
      <c r="D49" s="18" t="n">
        <v>0.10716</v>
      </c>
      <c r="E49" s="18" t="n">
        <v>0.96275</v>
      </c>
      <c r="F49" s="18" t="n">
        <v>0.02835</v>
      </c>
      <c r="G49" s="18" t="n">
        <v>0.75053</v>
      </c>
      <c r="H49" s="18" t="n">
        <v>0.55609</v>
      </c>
      <c r="I49" s="18" t="n">
        <v>13.67014</v>
      </c>
      <c r="J49" s="18" t="n">
        <v>0.67872</v>
      </c>
      <c r="K49" s="18" t="n">
        <v>15.67766</v>
      </c>
    </row>
    <row r="50">
      <c r="A50" s="9" t="inlineStr"/>
      <c r="B50" s="9" t="inlineStr">
        <is>
          <t>Dual-Tree Complex Wavelet (DTCWT)</t>
        </is>
      </c>
      <c r="C50" s="18" t="n">
        <v>6.67564</v>
      </c>
      <c r="D50" s="18" t="n">
        <v>0.10806</v>
      </c>
      <c r="E50" s="18" t="n">
        <v>0.96412</v>
      </c>
      <c r="F50" s="18" t="n">
        <v>0.02562</v>
      </c>
      <c r="G50" s="18" t="n">
        <v>0.77034</v>
      </c>
      <c r="H50" s="18" t="n">
        <v>0.54961</v>
      </c>
      <c r="I50" s="18" t="n">
        <v>12.35633</v>
      </c>
      <c r="J50" s="19" t="n">
        <v>0.7097</v>
      </c>
      <c r="K50" s="18" t="n">
        <v>15.68368</v>
      </c>
    </row>
    <row r="51">
      <c r="A51" s="9" t="inlineStr"/>
      <c r="B51" s="9" t="inlineStr">
        <is>
          <t>Curvelet (CVT)</t>
        </is>
      </c>
      <c r="C51" s="18" t="n">
        <v>6.59901</v>
      </c>
      <c r="D51" s="18" t="n">
        <v>0.10119</v>
      </c>
      <c r="E51" s="18" t="n">
        <v>0.95305</v>
      </c>
      <c r="F51" s="18" t="n">
        <v>0.02602</v>
      </c>
      <c r="G51" s="18" t="n">
        <v>0.76396</v>
      </c>
      <c r="H51" s="18" t="n">
        <v>0.57363</v>
      </c>
      <c r="I51" s="18" t="n">
        <v>12.24783</v>
      </c>
      <c r="J51" s="18" t="n">
        <v>0.6979</v>
      </c>
      <c r="K51" s="19" t="n">
        <v>15.75355</v>
      </c>
    </row>
    <row r="52">
      <c r="A52" s="9" t="inlineStr"/>
      <c r="B52" s="9" t="inlineStr">
        <is>
          <t>Top-Hat clásico</t>
        </is>
      </c>
      <c r="C52" s="18" t="n">
        <v>6.92687</v>
      </c>
      <c r="D52" s="18" t="n">
        <v>0.13152</v>
      </c>
      <c r="E52" s="18" t="n">
        <v>1.0004</v>
      </c>
      <c r="F52" s="19" t="n">
        <v>0.04465</v>
      </c>
      <c r="G52" s="18" t="n">
        <v>0.6212800000000001</v>
      </c>
      <c r="H52" s="18" t="n">
        <v>0.41181</v>
      </c>
      <c r="I52" s="19" t="n">
        <v>20.54914</v>
      </c>
      <c r="J52" s="18" t="n">
        <v>0.58124</v>
      </c>
      <c r="K52" s="18" t="n">
        <v>15.1583</v>
      </c>
    </row>
    <row r="53">
      <c r="A53" s="9" t="inlineStr"/>
      <c r="B53" s="8" t="inlineStr">
        <is>
          <t>PROPUESTA NOVEDOSA (r=25, m=0,30)</t>
        </is>
      </c>
      <c r="C53" s="19" t="n">
        <v>7.06718</v>
      </c>
      <c r="D53" s="18" t="n">
        <v>0.14373</v>
      </c>
      <c r="E53" s="19" t="n">
        <v>1.02067</v>
      </c>
      <c r="F53" s="18" t="n">
        <v>0.03381</v>
      </c>
      <c r="G53" s="18" t="n">
        <v>0.68004</v>
      </c>
      <c r="H53" s="18" t="n">
        <v>0.4892</v>
      </c>
      <c r="I53" s="18" t="n">
        <v>15.65434</v>
      </c>
      <c r="J53" s="18" t="n">
        <v>0.66638</v>
      </c>
      <c r="K53" s="18" t="n">
        <v>15.16937</v>
      </c>
    </row>
    <row r="54">
      <c r="A54" s="8" t="inlineStr">
        <is>
          <t>Athena_APC_4_fennek01_005</t>
        </is>
      </c>
      <c r="B54" s="9" t="inlineStr">
        <is>
          <t>Pirámide de Laplace (LP)</t>
        </is>
      </c>
      <c r="C54" s="18" t="n">
        <v>6.17799</v>
      </c>
      <c r="D54" s="18" t="n">
        <v>0.07003</v>
      </c>
      <c r="E54" s="18" t="n">
        <v>0.98434</v>
      </c>
      <c r="F54" s="18" t="n">
        <v>0.02264</v>
      </c>
      <c r="G54" s="19" t="n">
        <v>1.40143</v>
      </c>
      <c r="H54" s="19" t="n">
        <v>0.28457</v>
      </c>
      <c r="I54" s="18" t="n">
        <v>9.772360000000001</v>
      </c>
      <c r="J54" s="18" t="n">
        <v>0.73407</v>
      </c>
      <c r="K54" s="18" t="n">
        <v>20.16412</v>
      </c>
    </row>
    <row r="55">
      <c r="A55" s="9" t="inlineStr"/>
      <c r="B55" s="9" t="inlineStr">
        <is>
          <t>Ratio of low-pass Pyramid (RP)</t>
        </is>
      </c>
      <c r="C55" s="18" t="n">
        <v>5.97004</v>
      </c>
      <c r="D55" s="18" t="n">
        <v>0.06146</v>
      </c>
      <c r="E55" s="18" t="n">
        <v>0.95121</v>
      </c>
      <c r="F55" s="18" t="n">
        <v>0.02332</v>
      </c>
      <c r="G55" s="18" t="n">
        <v>0.34478</v>
      </c>
      <c r="H55" s="18" t="n">
        <v>0.18526</v>
      </c>
      <c r="I55" s="18" t="n">
        <v>9.88344</v>
      </c>
      <c r="J55" s="18" t="n">
        <v>0.74917</v>
      </c>
      <c r="K55" s="18" t="n">
        <v>22.46399</v>
      </c>
    </row>
    <row r="56">
      <c r="A56" s="9" t="inlineStr"/>
      <c r="B56" s="9" t="inlineStr">
        <is>
          <t>Wavelet discreta (DWT)</t>
        </is>
      </c>
      <c r="C56" s="18" t="n">
        <v>5.78884</v>
      </c>
      <c r="D56" s="18" t="n">
        <v>0.05382</v>
      </c>
      <c r="E56" s="18" t="n">
        <v>0.92234</v>
      </c>
      <c r="F56" s="18" t="n">
        <v>0.02513</v>
      </c>
      <c r="G56" s="18" t="n">
        <v>0.3631</v>
      </c>
      <c r="H56" s="18" t="n">
        <v>0.14044</v>
      </c>
      <c r="I56" s="18" t="n">
        <v>10.97125</v>
      </c>
      <c r="J56" s="18" t="n">
        <v>0.72071</v>
      </c>
      <c r="K56" s="18" t="n">
        <v>22.63467</v>
      </c>
    </row>
    <row r="57">
      <c r="A57" s="9" t="inlineStr"/>
      <c r="B57" s="9" t="inlineStr">
        <is>
          <t>Dual-Tree Complex Wavelet (DTCWT)</t>
        </is>
      </c>
      <c r="C57" s="18" t="n">
        <v>5.78812</v>
      </c>
      <c r="D57" s="18" t="n">
        <v>0.05402</v>
      </c>
      <c r="E57" s="18" t="n">
        <v>0.92222</v>
      </c>
      <c r="F57" s="18" t="n">
        <v>0.02249</v>
      </c>
      <c r="G57" s="18" t="n">
        <v>0.41118</v>
      </c>
      <c r="H57" s="18" t="n">
        <v>0.14137</v>
      </c>
      <c r="I57" s="18" t="n">
        <v>9.69835</v>
      </c>
      <c r="J57" s="19" t="n">
        <v>0.75635</v>
      </c>
      <c r="K57" s="18" t="n">
        <v>22.70385</v>
      </c>
    </row>
    <row r="58">
      <c r="A58" s="9" t="inlineStr"/>
      <c r="B58" s="9" t="inlineStr">
        <is>
          <t>Curvelet (CVT)</t>
        </is>
      </c>
      <c r="C58" s="18" t="n">
        <v>5.70675</v>
      </c>
      <c r="D58" s="18" t="n">
        <v>0.05072</v>
      </c>
      <c r="E58" s="18" t="n">
        <v>0.90926</v>
      </c>
      <c r="F58" s="18" t="n">
        <v>0.02362</v>
      </c>
      <c r="G58" s="18" t="n">
        <v>0.36831</v>
      </c>
      <c r="H58" s="18" t="n">
        <v>0.14442</v>
      </c>
      <c r="I58" s="18" t="n">
        <v>10.11212</v>
      </c>
      <c r="J58" s="18" t="n">
        <v>0.7400099999999999</v>
      </c>
      <c r="K58" s="19" t="n">
        <v>22.74749</v>
      </c>
    </row>
    <row r="59">
      <c r="A59" s="9" t="inlineStr"/>
      <c r="B59" s="9" t="inlineStr">
        <is>
          <t>Top-Hat clásico</t>
        </is>
      </c>
      <c r="C59" s="18" t="n">
        <v>6.33741</v>
      </c>
      <c r="D59" s="19" t="n">
        <v>0.0803</v>
      </c>
      <c r="E59" s="18" t="n">
        <v>1.00974</v>
      </c>
      <c r="F59" s="19" t="n">
        <v>0.04199</v>
      </c>
      <c r="G59" s="18" t="n">
        <v>0.33887</v>
      </c>
      <c r="H59" s="18" t="n">
        <v>0.13634</v>
      </c>
      <c r="I59" s="19" t="n">
        <v>18.66549</v>
      </c>
      <c r="J59" s="18" t="n">
        <v>0.6067399999999999</v>
      </c>
      <c r="K59" s="18" t="n">
        <v>21.33732</v>
      </c>
    </row>
    <row r="60">
      <c r="A60" s="9" t="inlineStr"/>
      <c r="B60" s="8" t="inlineStr">
        <is>
          <t>PROPUESTA NOVEDOSA (r=25, m=0,30)</t>
        </is>
      </c>
      <c r="C60" s="19" t="n">
        <v>6.35595</v>
      </c>
      <c r="D60" s="18" t="n">
        <v>0.07994</v>
      </c>
      <c r="E60" s="19" t="n">
        <v>1.01269</v>
      </c>
      <c r="F60" s="18" t="n">
        <v>0.03142</v>
      </c>
      <c r="G60" s="18" t="n">
        <v>0.42351</v>
      </c>
      <c r="H60" s="18" t="n">
        <v>0.14196</v>
      </c>
      <c r="I60" s="18" t="n">
        <v>13.34313</v>
      </c>
      <c r="J60" s="18" t="n">
        <v>0.6945</v>
      </c>
      <c r="K60" s="18" t="n">
        <v>21.65353</v>
      </c>
    </row>
    <row r="61">
      <c r="A61" s="8" t="inlineStr">
        <is>
          <t>Athena_heather_IR_hei_vis_g</t>
        </is>
      </c>
      <c r="B61" s="9" t="inlineStr">
        <is>
          <t>Pirámide de Laplace (LP)</t>
        </is>
      </c>
      <c r="C61" s="18" t="n">
        <v>7.08916</v>
      </c>
      <c r="D61" s="18" t="n">
        <v>0.19701</v>
      </c>
      <c r="E61" s="18" t="n">
        <v>1</v>
      </c>
      <c r="F61" s="18" t="n">
        <v>0.01397</v>
      </c>
      <c r="G61" s="19" t="n">
        <v>5.06421</v>
      </c>
      <c r="H61" s="19" t="n">
        <v>5.06421</v>
      </c>
      <c r="I61" s="18" t="n">
        <v>5.6735</v>
      </c>
      <c r="J61" s="19" t="n">
        <v>1</v>
      </c>
      <c r="K61" s="19" t="n">
        <v>120</v>
      </c>
    </row>
    <row r="62">
      <c r="A62" s="9" t="inlineStr"/>
      <c r="B62" s="9" t="inlineStr">
        <is>
          <t>Ratio of low-pass Pyramid (RP)</t>
        </is>
      </c>
      <c r="C62" s="18" t="n">
        <v>7.08916</v>
      </c>
      <c r="D62" s="18" t="n">
        <v>0.19701</v>
      </c>
      <c r="E62" s="18" t="n">
        <v>1</v>
      </c>
      <c r="F62" s="18" t="n">
        <v>0.01397</v>
      </c>
      <c r="G62" s="18" t="n">
        <v>5.06421</v>
      </c>
      <c r="H62" s="18" t="n">
        <v>5.06421</v>
      </c>
      <c r="I62" s="18" t="n">
        <v>5.67353</v>
      </c>
      <c r="J62" s="18" t="n">
        <v>1</v>
      </c>
      <c r="K62" s="18" t="n">
        <v>107.88111</v>
      </c>
    </row>
    <row r="63">
      <c r="A63" s="9" t="inlineStr"/>
      <c r="B63" s="9" t="inlineStr">
        <is>
          <t>Wavelet discreta (DWT)</t>
        </is>
      </c>
      <c r="C63" s="18" t="n">
        <v>7.08916</v>
      </c>
      <c r="D63" s="18" t="n">
        <v>0.19701</v>
      </c>
      <c r="E63" s="18" t="n">
        <v>1</v>
      </c>
      <c r="F63" s="18" t="n">
        <v>0.01397</v>
      </c>
      <c r="G63" s="18" t="n">
        <v>5.0107</v>
      </c>
      <c r="H63" s="18" t="n">
        <v>5.0107</v>
      </c>
      <c r="I63" s="18" t="n">
        <v>5.6735</v>
      </c>
      <c r="J63" s="18" t="n">
        <v>1</v>
      </c>
      <c r="K63" s="18" t="n">
        <v>120</v>
      </c>
    </row>
    <row r="64">
      <c r="A64" s="9" t="inlineStr"/>
      <c r="B64" s="9" t="inlineStr">
        <is>
          <t>Dual-Tree Complex Wavelet (DTCWT)</t>
        </is>
      </c>
      <c r="C64" s="18" t="n">
        <v>7.08916</v>
      </c>
      <c r="D64" s="18" t="n">
        <v>0.19701</v>
      </c>
      <c r="E64" s="18" t="n">
        <v>1</v>
      </c>
      <c r="F64" s="18" t="n">
        <v>0.01397</v>
      </c>
      <c r="G64" s="18" t="n">
        <v>5.06421</v>
      </c>
      <c r="H64" s="18" t="n">
        <v>5.06421</v>
      </c>
      <c r="I64" s="18" t="n">
        <v>5.6735</v>
      </c>
      <c r="J64" s="18" t="n">
        <v>1</v>
      </c>
      <c r="K64" s="18" t="n">
        <v>120</v>
      </c>
    </row>
    <row r="65">
      <c r="A65" s="9" t="inlineStr"/>
      <c r="B65" s="9" t="inlineStr">
        <is>
          <t>Curvelet (CVT)</t>
        </is>
      </c>
      <c r="C65" s="18" t="n">
        <v>7.08916</v>
      </c>
      <c r="D65" s="18" t="n">
        <v>0.19701</v>
      </c>
      <c r="E65" s="18" t="n">
        <v>1</v>
      </c>
      <c r="F65" s="18" t="n">
        <v>0.01397</v>
      </c>
      <c r="G65" s="18" t="n">
        <v>5.01264</v>
      </c>
      <c r="H65" s="18" t="n">
        <v>5.01264</v>
      </c>
      <c r="I65" s="18" t="n">
        <v>5.6735</v>
      </c>
      <c r="J65" s="18" t="n">
        <v>1</v>
      </c>
      <c r="K65" s="18" t="n">
        <v>120</v>
      </c>
    </row>
    <row r="66">
      <c r="A66" s="9" t="inlineStr"/>
      <c r="B66" s="9" t="inlineStr">
        <is>
          <t>Top-Hat clásico</t>
        </is>
      </c>
      <c r="C66" s="19" t="n">
        <v>7.15608</v>
      </c>
      <c r="D66" s="18" t="n">
        <v>0.20826</v>
      </c>
      <c r="E66" s="19" t="n">
        <v>1.00944</v>
      </c>
      <c r="F66" s="19" t="n">
        <v>0.02793</v>
      </c>
      <c r="G66" s="18" t="n">
        <v>2.40825</v>
      </c>
      <c r="H66" s="18" t="n">
        <v>2.40825</v>
      </c>
      <c r="I66" s="19" t="n">
        <v>11.06336</v>
      </c>
      <c r="J66" s="18" t="n">
        <v>0.8578</v>
      </c>
      <c r="K66" s="18" t="n">
        <v>28.42239</v>
      </c>
    </row>
    <row r="67">
      <c r="A67" s="9" t="inlineStr"/>
      <c r="B67" s="8" t="inlineStr">
        <is>
          <t>PROPUESTA NOVEDOSA (r=25, m=0,30)</t>
        </is>
      </c>
      <c r="C67" s="18" t="n">
        <v>7.04619</v>
      </c>
      <c r="D67" s="19" t="n">
        <v>0.23082</v>
      </c>
      <c r="E67" s="18" t="n">
        <v>0.99394</v>
      </c>
      <c r="F67" s="18" t="n">
        <v>0.02543</v>
      </c>
      <c r="G67" s="18" t="n">
        <v>2.08045</v>
      </c>
      <c r="H67" s="18" t="n">
        <v>2.08045</v>
      </c>
      <c r="I67" s="18" t="n">
        <v>10.40211</v>
      </c>
      <c r="J67" s="18" t="n">
        <v>0.85653</v>
      </c>
      <c r="K67" s="18" t="n">
        <v>24.05388</v>
      </c>
    </row>
    <row r="68">
      <c r="A68" s="8" t="inlineStr">
        <is>
          <t>Athena_heather_hei_vis</t>
        </is>
      </c>
      <c r="B68" s="9" t="inlineStr">
        <is>
          <t>Pirámide de Laplace (LP)</t>
        </is>
      </c>
      <c r="C68" s="18" t="n">
        <v>6.78031</v>
      </c>
      <c r="D68" s="18" t="n">
        <v>0.11115</v>
      </c>
      <c r="E68" s="18" t="n">
        <v>0.94497</v>
      </c>
      <c r="F68" s="18" t="n">
        <v>0.02633</v>
      </c>
      <c r="G68" s="18" t="n">
        <v>0.50548</v>
      </c>
      <c r="H68" s="19" t="n">
        <v>0.99355</v>
      </c>
      <c r="I68" s="18" t="n">
        <v>12.80947</v>
      </c>
      <c r="J68" s="18" t="n">
        <v>0.64496</v>
      </c>
      <c r="K68" s="18" t="n">
        <v>13.39049</v>
      </c>
    </row>
    <row r="69">
      <c r="A69" s="9" t="inlineStr"/>
      <c r="B69" s="9" t="inlineStr">
        <is>
          <t>Ratio of low-pass Pyramid (RP)</t>
        </is>
      </c>
      <c r="C69" s="19" t="n">
        <v>7.17891</v>
      </c>
      <c r="D69" s="19" t="n">
        <v>0.15399</v>
      </c>
      <c r="E69" s="19" t="n">
        <v>1.00052</v>
      </c>
      <c r="F69" s="18" t="n">
        <v>0.03399</v>
      </c>
      <c r="G69" s="19" t="n">
        <v>0.91232</v>
      </c>
      <c r="H69" s="18" t="n">
        <v>0.66654</v>
      </c>
      <c r="I69" s="18" t="n">
        <v>15.74497</v>
      </c>
      <c r="J69" s="18" t="n">
        <v>0.61528</v>
      </c>
      <c r="K69" s="18" t="n">
        <v>15.20664</v>
      </c>
    </row>
    <row r="70">
      <c r="A70" s="9" t="inlineStr"/>
      <c r="B70" s="9" t="inlineStr">
        <is>
          <t>Wavelet discreta (DWT)</t>
        </is>
      </c>
      <c r="C70" s="18" t="n">
        <v>6.8429</v>
      </c>
      <c r="D70" s="18" t="n">
        <v>0.116</v>
      </c>
      <c r="E70" s="18" t="n">
        <v>0.95369</v>
      </c>
      <c r="F70" s="18" t="n">
        <v>0.02954</v>
      </c>
      <c r="G70" s="18" t="n">
        <v>0.81913</v>
      </c>
      <c r="H70" s="18" t="n">
        <v>0.62241</v>
      </c>
      <c r="I70" s="18" t="n">
        <v>14.25477</v>
      </c>
      <c r="J70" s="18" t="n">
        <v>0.63997</v>
      </c>
      <c r="K70" s="18" t="n">
        <v>15.94798</v>
      </c>
    </row>
    <row r="71">
      <c r="A71" s="9" t="inlineStr"/>
      <c r="B71" s="9" t="inlineStr">
        <is>
          <t>Dual-Tree Complex Wavelet (DTCWT)</t>
        </is>
      </c>
      <c r="C71" s="18" t="n">
        <v>6.85389</v>
      </c>
      <c r="D71" s="18" t="n">
        <v>0.11716</v>
      </c>
      <c r="E71" s="18" t="n">
        <v>0.95522</v>
      </c>
      <c r="F71" s="18" t="n">
        <v>0.02695</v>
      </c>
      <c r="G71" s="18" t="n">
        <v>0.84463</v>
      </c>
      <c r="H71" s="18" t="n">
        <v>0.63883</v>
      </c>
      <c r="I71" s="18" t="n">
        <v>12.96626</v>
      </c>
      <c r="J71" s="19" t="n">
        <v>0.67106</v>
      </c>
      <c r="K71" s="18" t="n">
        <v>15.94995</v>
      </c>
    </row>
    <row r="72">
      <c r="A72" s="9" t="inlineStr"/>
      <c r="B72" s="9" t="inlineStr">
        <is>
          <t>Curvelet (CVT)</t>
        </is>
      </c>
      <c r="C72" s="18" t="n">
        <v>6.77987</v>
      </c>
      <c r="D72" s="18" t="n">
        <v>0.11074</v>
      </c>
      <c r="E72" s="18" t="n">
        <v>0.94491</v>
      </c>
      <c r="F72" s="18" t="n">
        <v>0.0268</v>
      </c>
      <c r="G72" s="18" t="n">
        <v>0.80447</v>
      </c>
      <c r="H72" s="18" t="n">
        <v>0.63798</v>
      </c>
      <c r="I72" s="18" t="n">
        <v>12.84176</v>
      </c>
      <c r="J72" s="18" t="n">
        <v>0.66816</v>
      </c>
      <c r="K72" s="19" t="n">
        <v>16.0358</v>
      </c>
    </row>
    <row r="73">
      <c r="A73" s="9" t="inlineStr"/>
      <c r="B73" s="9" t="inlineStr">
        <is>
          <t>Top-Hat clásico</t>
        </is>
      </c>
      <c r="C73" s="18" t="n">
        <v>7.015</v>
      </c>
      <c r="D73" s="18" t="n">
        <v>0.1312</v>
      </c>
      <c r="E73" s="18" t="n">
        <v>0.97768</v>
      </c>
      <c r="F73" s="19" t="n">
        <v>0.04972</v>
      </c>
      <c r="G73" s="18" t="n">
        <v>0.57984</v>
      </c>
      <c r="H73" s="18" t="n">
        <v>0.47524</v>
      </c>
      <c r="I73" s="19" t="n">
        <v>22.87326</v>
      </c>
      <c r="J73" s="18" t="n">
        <v>0.51791</v>
      </c>
      <c r="K73" s="18" t="n">
        <v>15.57986</v>
      </c>
    </row>
    <row r="74">
      <c r="A74" s="9" t="inlineStr"/>
      <c r="B74" s="8" t="inlineStr">
        <is>
          <t>PROPUESTA NOVEDOSA (r=25, m=0,30)</t>
        </is>
      </c>
      <c r="C74" s="18" t="n">
        <v>7.13527</v>
      </c>
      <c r="D74" s="18" t="n">
        <v>0.14402</v>
      </c>
      <c r="E74" s="18" t="n">
        <v>0.99444</v>
      </c>
      <c r="F74" s="18" t="n">
        <v>0.03623</v>
      </c>
      <c r="G74" s="18" t="n">
        <v>0.71353</v>
      </c>
      <c r="H74" s="18" t="n">
        <v>0.54401</v>
      </c>
      <c r="I74" s="18" t="n">
        <v>16.45011</v>
      </c>
      <c r="J74" s="18" t="n">
        <v>0.61482</v>
      </c>
      <c r="K74" s="18" t="n">
        <v>15.48112</v>
      </c>
    </row>
    <row r="75">
      <c r="A75" s="8" t="inlineStr">
        <is>
          <t>Athena_helicopter_helib_011</t>
        </is>
      </c>
      <c r="B75" s="9" t="inlineStr">
        <is>
          <t>Pirámide de Laplace (LP)</t>
        </is>
      </c>
      <c r="C75" s="18" t="n">
        <v>5.21331</v>
      </c>
      <c r="D75" s="18" t="n">
        <v>0.05503</v>
      </c>
      <c r="E75" s="18" t="n">
        <v>1.12728</v>
      </c>
      <c r="F75" s="18" t="n">
        <v>0.01307</v>
      </c>
      <c r="G75" s="19" t="n">
        <v>2.45287</v>
      </c>
      <c r="H75" s="18" t="n">
        <v>0.38862</v>
      </c>
      <c r="I75" s="18" t="n">
        <v>5.77158</v>
      </c>
      <c r="J75" s="18" t="n">
        <v>0.78762</v>
      </c>
      <c r="K75" s="18" t="n">
        <v>15.60525</v>
      </c>
    </row>
    <row r="76">
      <c r="A76" s="9" t="inlineStr"/>
      <c r="B76" s="9" t="inlineStr">
        <is>
          <t>Ratio of low-pass Pyramid (RP)</t>
        </is>
      </c>
      <c r="C76" s="18" t="n">
        <v>5.39822</v>
      </c>
      <c r="D76" s="18" t="n">
        <v>0.05152</v>
      </c>
      <c r="E76" s="18" t="n">
        <v>1.16727</v>
      </c>
      <c r="F76" s="18" t="n">
        <v>0.01303</v>
      </c>
      <c r="G76" s="18" t="n">
        <v>0.79199</v>
      </c>
      <c r="H76" s="19" t="n">
        <v>0.53452</v>
      </c>
      <c r="I76" s="18" t="n">
        <v>6.03553</v>
      </c>
      <c r="J76" s="19" t="n">
        <v>0.82202</v>
      </c>
      <c r="K76" s="18" t="n">
        <v>18.36653</v>
      </c>
    </row>
    <row r="77">
      <c r="A77" s="9" t="inlineStr"/>
      <c r="B77" s="9" t="inlineStr">
        <is>
          <t>Wavelet discreta (DWT)</t>
        </is>
      </c>
      <c r="C77" s="18" t="n">
        <v>5.21282</v>
      </c>
      <c r="D77" s="18" t="n">
        <v>0.0454</v>
      </c>
      <c r="E77" s="18" t="n">
        <v>1.12718</v>
      </c>
      <c r="F77" s="18" t="n">
        <v>0.01435</v>
      </c>
      <c r="G77" s="18" t="n">
        <v>0.97925</v>
      </c>
      <c r="H77" s="18" t="n">
        <v>0.51432</v>
      </c>
      <c r="I77" s="18" t="n">
        <v>6.87237</v>
      </c>
      <c r="J77" s="18" t="n">
        <v>0.8085599999999999</v>
      </c>
      <c r="K77" s="18" t="n">
        <v>18.45971</v>
      </c>
    </row>
    <row r="78">
      <c r="A78" s="9" t="inlineStr"/>
      <c r="B78" s="9" t="inlineStr">
        <is>
          <t>Dual-Tree Complex Wavelet (DTCWT)</t>
        </is>
      </c>
      <c r="C78" s="18" t="n">
        <v>5.22957</v>
      </c>
      <c r="D78" s="18" t="n">
        <v>0.04578</v>
      </c>
      <c r="E78" s="18" t="n">
        <v>1.1308</v>
      </c>
      <c r="F78" s="18" t="n">
        <v>0.01292</v>
      </c>
      <c r="G78" s="18" t="n">
        <v>0.99954</v>
      </c>
      <c r="H78" s="18" t="n">
        <v>0.51293</v>
      </c>
      <c r="I78" s="18" t="n">
        <v>5.69648</v>
      </c>
      <c r="J78" s="18" t="n">
        <v>0.82092</v>
      </c>
      <c r="K78" s="18" t="n">
        <v>18.46457</v>
      </c>
    </row>
    <row r="79">
      <c r="A79" s="9" t="inlineStr"/>
      <c r="B79" s="9" t="inlineStr">
        <is>
          <t>Curvelet (CVT)</t>
        </is>
      </c>
      <c r="C79" s="18" t="n">
        <v>5.14043</v>
      </c>
      <c r="D79" s="18" t="n">
        <v>0.04245</v>
      </c>
      <c r="E79" s="18" t="n">
        <v>1.11152</v>
      </c>
      <c r="F79" s="18" t="n">
        <v>0.01352</v>
      </c>
      <c r="G79" s="18" t="n">
        <v>0.94282</v>
      </c>
      <c r="H79" s="18" t="n">
        <v>0.5016</v>
      </c>
      <c r="I79" s="18" t="n">
        <v>5.90699</v>
      </c>
      <c r="J79" s="18" t="n">
        <v>0.81453</v>
      </c>
      <c r="K79" s="19" t="n">
        <v>18.49703</v>
      </c>
    </row>
    <row r="80">
      <c r="A80" s="9" t="inlineStr"/>
      <c r="B80" s="9" t="inlineStr">
        <is>
          <t>Top-Hat clásico</t>
        </is>
      </c>
      <c r="C80" s="19" t="n">
        <v>5.54167</v>
      </c>
      <c r="D80" s="18" t="n">
        <v>0.05228</v>
      </c>
      <c r="E80" s="19" t="n">
        <v>1.19828</v>
      </c>
      <c r="F80" s="19" t="n">
        <v>0.02408</v>
      </c>
      <c r="G80" s="18" t="n">
        <v>0.6873899999999999</v>
      </c>
      <c r="H80" s="18" t="n">
        <v>0.33718</v>
      </c>
      <c r="I80" s="19" t="n">
        <v>10.44723</v>
      </c>
      <c r="J80" s="18" t="n">
        <v>0.6865599999999999</v>
      </c>
      <c r="K80" s="18" t="n">
        <v>18.32726</v>
      </c>
    </row>
    <row r="81">
      <c r="A81" s="9" t="inlineStr"/>
      <c r="B81" s="8" t="inlineStr">
        <is>
          <t>PROPUESTA NOVEDOSA (r=25, m=0,30)</t>
        </is>
      </c>
      <c r="C81" s="18" t="n">
        <v>5.51013</v>
      </c>
      <c r="D81" s="19" t="n">
        <v>0.05816</v>
      </c>
      <c r="E81" s="18" t="n">
        <v>1.19146</v>
      </c>
      <c r="F81" s="18" t="n">
        <v>0.01838</v>
      </c>
      <c r="G81" s="18" t="n">
        <v>0.91818</v>
      </c>
      <c r="H81" s="18" t="n">
        <v>0.41383</v>
      </c>
      <c r="I81" s="18" t="n">
        <v>7.91304</v>
      </c>
      <c r="J81" s="18" t="n">
        <v>0.76457</v>
      </c>
      <c r="K81" s="18" t="n">
        <v>18.3341</v>
      </c>
    </row>
    <row r="82">
      <c r="A82" s="8" t="inlineStr">
        <is>
          <t>Athena_lake_lake</t>
        </is>
      </c>
      <c r="B82" s="9" t="inlineStr">
        <is>
          <t>Pirámide de Laplace (LP)</t>
        </is>
      </c>
      <c r="C82" s="19" t="n">
        <v>7.09199</v>
      </c>
      <c r="D82" s="19" t="n">
        <v>0.16713</v>
      </c>
      <c r="E82" s="19" t="n">
        <v>1.02629</v>
      </c>
      <c r="F82" s="18" t="n">
        <v>0.02296</v>
      </c>
      <c r="G82" s="19" t="n">
        <v>2.30568</v>
      </c>
      <c r="H82" s="19" t="n">
        <v>0.60784</v>
      </c>
      <c r="I82" s="18" t="n">
        <v>12.01755</v>
      </c>
      <c r="J82" s="18" t="n">
        <v>0.7029</v>
      </c>
      <c r="K82" s="18" t="n">
        <v>14.22738</v>
      </c>
    </row>
    <row r="83">
      <c r="A83" s="9" t="inlineStr"/>
      <c r="B83" s="9" t="inlineStr">
        <is>
          <t>Ratio of low-pass Pyramid (RP)</t>
        </is>
      </c>
      <c r="C83" s="18" t="n">
        <v>6.88445</v>
      </c>
      <c r="D83" s="18" t="n">
        <v>0.1245</v>
      </c>
      <c r="E83" s="18" t="n">
        <v>0.99626</v>
      </c>
      <c r="F83" s="18" t="n">
        <v>0.02446</v>
      </c>
      <c r="G83" s="18" t="n">
        <v>1.03794</v>
      </c>
      <c r="H83" s="18" t="n">
        <v>0.35981</v>
      </c>
      <c r="I83" s="18" t="n">
        <v>11.95323</v>
      </c>
      <c r="J83" s="18" t="n">
        <v>0.71279</v>
      </c>
      <c r="K83" s="18" t="n">
        <v>16.23441</v>
      </c>
    </row>
    <row r="84">
      <c r="A84" s="9" t="inlineStr"/>
      <c r="B84" s="9" t="inlineStr">
        <is>
          <t>Wavelet discreta (DWT)</t>
        </is>
      </c>
      <c r="C84" s="18" t="n">
        <v>6.67377</v>
      </c>
      <c r="D84" s="18" t="n">
        <v>0.10688</v>
      </c>
      <c r="E84" s="18" t="n">
        <v>0.96577</v>
      </c>
      <c r="F84" s="18" t="n">
        <v>0.02522</v>
      </c>
      <c r="G84" s="18" t="n">
        <v>1.08825</v>
      </c>
      <c r="H84" s="18" t="n">
        <v>0.34614</v>
      </c>
      <c r="I84" s="18" t="n">
        <v>12.9084</v>
      </c>
      <c r="J84" s="18" t="n">
        <v>0.69107</v>
      </c>
      <c r="K84" s="18" t="n">
        <v>16.80251</v>
      </c>
    </row>
    <row r="85">
      <c r="A85" s="9" t="inlineStr"/>
      <c r="B85" s="9" t="inlineStr">
        <is>
          <t>Dual-Tree Complex Wavelet (DTCWT)</t>
        </is>
      </c>
      <c r="C85" s="18" t="n">
        <v>6.66897</v>
      </c>
      <c r="D85" s="18" t="n">
        <v>0.10687</v>
      </c>
      <c r="E85" s="18" t="n">
        <v>0.96508</v>
      </c>
      <c r="F85" s="18" t="n">
        <v>0.02287</v>
      </c>
      <c r="G85" s="18" t="n">
        <v>1.11329</v>
      </c>
      <c r="H85" s="18" t="n">
        <v>0.34224</v>
      </c>
      <c r="I85" s="18" t="n">
        <v>11.78781</v>
      </c>
      <c r="J85" s="19" t="n">
        <v>0.71983</v>
      </c>
      <c r="K85" s="18" t="n">
        <v>16.82319</v>
      </c>
    </row>
    <row r="86">
      <c r="A86" s="9" t="inlineStr"/>
      <c r="B86" s="9" t="inlineStr">
        <is>
          <t>Curvelet (CVT)</t>
        </is>
      </c>
      <c r="C86" s="18" t="n">
        <v>6.64541</v>
      </c>
      <c r="D86" s="18" t="n">
        <v>0.10203</v>
      </c>
      <c r="E86" s="18" t="n">
        <v>0.96167</v>
      </c>
      <c r="F86" s="18" t="n">
        <v>0.02298</v>
      </c>
      <c r="G86" s="18" t="n">
        <v>1.12112</v>
      </c>
      <c r="H86" s="18" t="n">
        <v>0.36336</v>
      </c>
      <c r="I86" s="18" t="n">
        <v>11.84776</v>
      </c>
      <c r="J86" s="18" t="n">
        <v>0.71457</v>
      </c>
      <c r="K86" s="19" t="n">
        <v>16.88078</v>
      </c>
    </row>
    <row r="87">
      <c r="A87" s="9" t="inlineStr"/>
      <c r="B87" s="9" t="inlineStr">
        <is>
          <t>Top-Hat clásico</t>
        </is>
      </c>
      <c r="C87" s="18" t="n">
        <v>6.82374</v>
      </c>
      <c r="D87" s="18" t="n">
        <v>0.12212</v>
      </c>
      <c r="E87" s="18" t="n">
        <v>0.98747</v>
      </c>
      <c r="F87" s="19" t="n">
        <v>0.04018</v>
      </c>
      <c r="G87" s="18" t="n">
        <v>0.74622</v>
      </c>
      <c r="H87" s="18" t="n">
        <v>0.29099</v>
      </c>
      <c r="I87" s="19" t="n">
        <v>18.88932</v>
      </c>
      <c r="J87" s="18" t="n">
        <v>0.5773200000000001</v>
      </c>
      <c r="K87" s="18" t="n">
        <v>16.41734</v>
      </c>
    </row>
    <row r="88">
      <c r="A88" s="9" t="inlineStr"/>
      <c r="B88" s="8" t="inlineStr">
        <is>
          <t>PROPUESTA NOVEDOSA (r=25, m=0,30)</t>
        </is>
      </c>
      <c r="C88" s="18" t="n">
        <v>6.92892</v>
      </c>
      <c r="D88" s="18" t="n">
        <v>0.12943</v>
      </c>
      <c r="E88" s="18" t="n">
        <v>1.00269</v>
      </c>
      <c r="F88" s="18" t="n">
        <v>0.03131</v>
      </c>
      <c r="G88" s="18" t="n">
        <v>0.78332</v>
      </c>
      <c r="H88" s="18" t="n">
        <v>0.27967</v>
      </c>
      <c r="I88" s="18" t="n">
        <v>14.59501</v>
      </c>
      <c r="J88" s="18" t="n">
        <v>0.65321</v>
      </c>
      <c r="K88" s="18" t="n">
        <v>16.3503</v>
      </c>
    </row>
    <row r="89">
      <c r="A89" s="8" t="inlineStr">
        <is>
          <t>Athena_man_in_doorway_maninhuis</t>
        </is>
      </c>
      <c r="B89" s="9" t="inlineStr">
        <is>
          <t>Pirámide de Laplace (LP)</t>
        </is>
      </c>
      <c r="C89" s="18" t="n">
        <v>7.21331</v>
      </c>
      <c r="D89" s="19" t="n">
        <v>0.17953</v>
      </c>
      <c r="E89" s="18" t="n">
        <v>1.00589</v>
      </c>
      <c r="F89" s="18" t="n">
        <v>0.03261</v>
      </c>
      <c r="G89" s="19" t="n">
        <v>1.92017</v>
      </c>
      <c r="H89" s="19" t="n">
        <v>0.6521</v>
      </c>
      <c r="I89" s="18" t="n">
        <v>15.18843</v>
      </c>
      <c r="J89" s="18" t="n">
        <v>0.64418</v>
      </c>
      <c r="K89" s="18" t="n">
        <v>12.78198</v>
      </c>
    </row>
    <row r="90">
      <c r="A90" s="9" t="inlineStr"/>
      <c r="B90" s="9" t="inlineStr">
        <is>
          <t>Ratio of low-pass Pyramid (RP)</t>
        </is>
      </c>
      <c r="C90" s="18" t="n">
        <v>7.16948</v>
      </c>
      <c r="D90" s="18" t="n">
        <v>0.14522</v>
      </c>
      <c r="E90" s="18" t="n">
        <v>0.99978</v>
      </c>
      <c r="F90" s="18" t="n">
        <v>0.03571</v>
      </c>
      <c r="G90" s="18" t="n">
        <v>0.7700900000000001</v>
      </c>
      <c r="H90" s="18" t="n">
        <v>0.2168</v>
      </c>
      <c r="I90" s="18" t="n">
        <v>15.58958</v>
      </c>
      <c r="J90" s="18" t="n">
        <v>0.64583</v>
      </c>
      <c r="K90" s="18" t="n">
        <v>14.82591</v>
      </c>
    </row>
    <row r="91">
      <c r="A91" s="9" t="inlineStr"/>
      <c r="B91" s="9" t="inlineStr">
        <is>
          <t>Wavelet discreta (DWT)</t>
        </is>
      </c>
      <c r="C91" s="18" t="n">
        <v>6.99956</v>
      </c>
      <c r="D91" s="18" t="n">
        <v>0.12618</v>
      </c>
      <c r="E91" s="18" t="n">
        <v>0.97609</v>
      </c>
      <c r="F91" s="18" t="n">
        <v>0.03658</v>
      </c>
      <c r="G91" s="18" t="n">
        <v>0.7831900000000001</v>
      </c>
      <c r="H91" s="18" t="n">
        <v>0.36163</v>
      </c>
      <c r="I91" s="18" t="n">
        <v>16.92897</v>
      </c>
      <c r="J91" s="18" t="n">
        <v>0.62929</v>
      </c>
      <c r="K91" s="18" t="n">
        <v>15.25231</v>
      </c>
    </row>
    <row r="92">
      <c r="A92" s="9" t="inlineStr"/>
      <c r="B92" s="9" t="inlineStr">
        <is>
          <t>Dual-Tree Complex Wavelet (DTCWT)</t>
        </is>
      </c>
      <c r="C92" s="18" t="n">
        <v>7.0078</v>
      </c>
      <c r="D92" s="18" t="n">
        <v>0.12688</v>
      </c>
      <c r="E92" s="18" t="n">
        <v>0.97724</v>
      </c>
      <c r="F92" s="18" t="n">
        <v>0.03299</v>
      </c>
      <c r="G92" s="18" t="n">
        <v>0.80298</v>
      </c>
      <c r="H92" s="18" t="n">
        <v>0.34228</v>
      </c>
      <c r="I92" s="18" t="n">
        <v>14.99515</v>
      </c>
      <c r="J92" s="19" t="n">
        <v>0.65864</v>
      </c>
      <c r="K92" s="18" t="n">
        <v>15.27454</v>
      </c>
    </row>
    <row r="93">
      <c r="A93" s="9" t="inlineStr"/>
      <c r="B93" s="9" t="inlineStr">
        <is>
          <t>Curvelet (CVT)</t>
        </is>
      </c>
      <c r="C93" s="18" t="n">
        <v>6.92723</v>
      </c>
      <c r="D93" s="18" t="n">
        <v>0.11844</v>
      </c>
      <c r="E93" s="18" t="n">
        <v>0.966</v>
      </c>
      <c r="F93" s="18" t="n">
        <v>0.03311</v>
      </c>
      <c r="G93" s="18" t="n">
        <v>0.80436</v>
      </c>
      <c r="H93" s="18" t="n">
        <v>0.38989</v>
      </c>
      <c r="I93" s="18" t="n">
        <v>14.85462</v>
      </c>
      <c r="J93" s="18" t="n">
        <v>0.64883</v>
      </c>
      <c r="K93" s="19" t="n">
        <v>15.36467</v>
      </c>
    </row>
    <row r="94">
      <c r="A94" s="9" t="inlineStr"/>
      <c r="B94" s="9" t="inlineStr">
        <is>
          <t>Top-Hat clásico</t>
        </is>
      </c>
      <c r="C94" s="18" t="n">
        <v>7.24318</v>
      </c>
      <c r="D94" s="18" t="n">
        <v>0.15752</v>
      </c>
      <c r="E94" s="18" t="n">
        <v>1.01006</v>
      </c>
      <c r="F94" s="19" t="n">
        <v>0.05609</v>
      </c>
      <c r="G94" s="18" t="n">
        <v>0.60453</v>
      </c>
      <c r="H94" s="18" t="n">
        <v>0.28792</v>
      </c>
      <c r="I94" s="19" t="n">
        <v>24.56038</v>
      </c>
      <c r="J94" s="18" t="n">
        <v>0.54091</v>
      </c>
      <c r="K94" s="18" t="n">
        <v>14.55284</v>
      </c>
    </row>
    <row r="95">
      <c r="A95" s="9" t="inlineStr"/>
      <c r="B95" s="8" t="inlineStr">
        <is>
          <t>PROPUESTA NOVEDOSA (r=25, m=0,30)</t>
        </is>
      </c>
      <c r="C95" s="19" t="n">
        <v>7.40091</v>
      </c>
      <c r="D95" s="18" t="n">
        <v>0.17166</v>
      </c>
      <c r="E95" s="19" t="n">
        <v>1.03206</v>
      </c>
      <c r="F95" s="18" t="n">
        <v>0.04391</v>
      </c>
      <c r="G95" s="18" t="n">
        <v>0.72285</v>
      </c>
      <c r="H95" s="18" t="n">
        <v>0.29833</v>
      </c>
      <c r="I95" s="18" t="n">
        <v>18.92324</v>
      </c>
      <c r="J95" s="18" t="n">
        <v>0.61499</v>
      </c>
      <c r="K95" s="18" t="n">
        <v>14.56546</v>
      </c>
    </row>
    <row r="96">
      <c r="A96" s="8" t="inlineStr">
        <is>
          <t>Athena_soldier_behind_smoke_1_meting012-1200</t>
        </is>
      </c>
      <c r="B96" s="9" t="inlineStr">
        <is>
          <t>Pirámide de Laplace (LP)</t>
        </is>
      </c>
      <c r="C96" s="18" t="n">
        <v>7.17898</v>
      </c>
      <c r="D96" s="19" t="n">
        <v>0.23123</v>
      </c>
      <c r="E96" s="18" t="n">
        <v>1.05596</v>
      </c>
      <c r="F96" s="18" t="n">
        <v>0.02848</v>
      </c>
      <c r="G96" s="19" t="n">
        <v>3.54367</v>
      </c>
      <c r="H96" s="18" t="n">
        <v>0.16305</v>
      </c>
      <c r="I96" s="18" t="n">
        <v>14.02508</v>
      </c>
      <c r="J96" s="18" t="n">
        <v>0.63295</v>
      </c>
      <c r="K96" s="18" t="n">
        <v>10.7292</v>
      </c>
    </row>
    <row r="97">
      <c r="A97" s="9" t="inlineStr"/>
      <c r="B97" s="9" t="inlineStr">
        <is>
          <t>Ratio of low-pass Pyramid (RP)</t>
        </is>
      </c>
      <c r="C97" s="18" t="n">
        <v>7.16835</v>
      </c>
      <c r="D97" s="18" t="n">
        <v>0.15105</v>
      </c>
      <c r="E97" s="18" t="n">
        <v>1.0544</v>
      </c>
      <c r="F97" s="18" t="n">
        <v>0.03024</v>
      </c>
      <c r="G97" s="18" t="n">
        <v>0.86652</v>
      </c>
      <c r="H97" s="18" t="n">
        <v>0.39473</v>
      </c>
      <c r="I97" s="18" t="n">
        <v>13.12209</v>
      </c>
      <c r="J97" s="18" t="n">
        <v>0.61167</v>
      </c>
      <c r="K97" s="18" t="n">
        <v>13.3969</v>
      </c>
    </row>
    <row r="98">
      <c r="A98" s="9" t="inlineStr"/>
      <c r="B98" s="9" t="inlineStr">
        <is>
          <t>Wavelet discreta (DWT)</t>
        </is>
      </c>
      <c r="C98" s="18" t="n">
        <v>7.08179</v>
      </c>
      <c r="D98" s="18" t="n">
        <v>0.14567</v>
      </c>
      <c r="E98" s="18" t="n">
        <v>1.04167</v>
      </c>
      <c r="F98" s="18" t="n">
        <v>0.03138</v>
      </c>
      <c r="G98" s="18" t="n">
        <v>1.15817</v>
      </c>
      <c r="H98" s="18" t="n">
        <v>0.44424</v>
      </c>
      <c r="I98" s="18" t="n">
        <v>14.78912</v>
      </c>
      <c r="J98" s="18" t="n">
        <v>0.61592</v>
      </c>
      <c r="K98" s="18" t="n">
        <v>13.53558</v>
      </c>
    </row>
    <row r="99">
      <c r="A99" s="9" t="inlineStr"/>
      <c r="B99" s="9" t="inlineStr">
        <is>
          <t>Dual-Tree Complex Wavelet (DTCWT)</t>
        </is>
      </c>
      <c r="C99" s="18" t="n">
        <v>7.08409</v>
      </c>
      <c r="D99" s="18" t="n">
        <v>0.14671</v>
      </c>
      <c r="E99" s="18" t="n">
        <v>1.04201</v>
      </c>
      <c r="F99" s="18" t="n">
        <v>0.02869</v>
      </c>
      <c r="G99" s="18" t="n">
        <v>1.20121</v>
      </c>
      <c r="H99" s="18" t="n">
        <v>0.4178</v>
      </c>
      <c r="I99" s="18" t="n">
        <v>13.5888</v>
      </c>
      <c r="J99" s="19" t="n">
        <v>0.64472</v>
      </c>
      <c r="K99" s="18" t="n">
        <v>13.53407</v>
      </c>
    </row>
    <row r="100">
      <c r="A100" s="9" t="inlineStr"/>
      <c r="B100" s="9" t="inlineStr">
        <is>
          <t>Curvelet (CVT)</t>
        </is>
      </c>
      <c r="C100" s="18" t="n">
        <v>7.05119</v>
      </c>
      <c r="D100" s="18" t="n">
        <v>0.14202</v>
      </c>
      <c r="E100" s="18" t="n">
        <v>1.03716</v>
      </c>
      <c r="F100" s="18" t="n">
        <v>0.02911</v>
      </c>
      <c r="G100" s="18" t="n">
        <v>1.18721</v>
      </c>
      <c r="H100" s="19" t="n">
        <v>0.46914</v>
      </c>
      <c r="I100" s="18" t="n">
        <v>13.74852</v>
      </c>
      <c r="J100" s="18" t="n">
        <v>0.63498</v>
      </c>
      <c r="K100" s="19" t="n">
        <v>13.57298</v>
      </c>
    </row>
    <row r="101">
      <c r="A101" s="9" t="inlineStr"/>
      <c r="B101" s="9" t="inlineStr">
        <is>
          <t>Top-Hat clásico</t>
        </is>
      </c>
      <c r="C101" s="18" t="n">
        <v>7.30639</v>
      </c>
      <c r="D101" s="18" t="n">
        <v>0.16287</v>
      </c>
      <c r="E101" s="18" t="n">
        <v>1.0747</v>
      </c>
      <c r="F101" s="19" t="n">
        <v>0.05037</v>
      </c>
      <c r="G101" s="18" t="n">
        <v>0.96915</v>
      </c>
      <c r="H101" s="18" t="n">
        <v>0.29428</v>
      </c>
      <c r="I101" s="19" t="n">
        <v>22.3488</v>
      </c>
      <c r="J101" s="18" t="n">
        <v>0.51624</v>
      </c>
      <c r="K101" s="18" t="n">
        <v>13.24124</v>
      </c>
    </row>
    <row r="102">
      <c r="A102" s="9" t="inlineStr"/>
      <c r="B102" s="8" t="inlineStr">
        <is>
          <t>PROPUESTA NOVEDOSA (r=25, m=0,30)</t>
        </is>
      </c>
      <c r="C102" s="19" t="n">
        <v>7.40754</v>
      </c>
      <c r="D102" s="18" t="n">
        <v>0.17539</v>
      </c>
      <c r="E102" s="19" t="n">
        <v>1.08958</v>
      </c>
      <c r="F102" s="18" t="n">
        <v>0.03935</v>
      </c>
      <c r="G102" s="18" t="n">
        <v>1.01982</v>
      </c>
      <c r="H102" s="18" t="n">
        <v>0.31479</v>
      </c>
      <c r="I102" s="18" t="n">
        <v>17.18517</v>
      </c>
      <c r="J102" s="18" t="n">
        <v>0.58352</v>
      </c>
      <c r="K102" s="18" t="n">
        <v>13.18021</v>
      </c>
    </row>
    <row r="103">
      <c r="A103" s="8" t="inlineStr">
        <is>
          <t>Athena_soldier_behind_smoke_2_meting012-1500</t>
        </is>
      </c>
      <c r="B103" s="9" t="inlineStr">
        <is>
          <t>Pirámide de Laplace (LP)</t>
        </is>
      </c>
      <c r="C103" s="18" t="n">
        <v>6.54622</v>
      </c>
      <c r="D103" s="19" t="n">
        <v>0.23468</v>
      </c>
      <c r="E103" s="18" t="n">
        <v>1.0539</v>
      </c>
      <c r="F103" s="18" t="n">
        <v>0.02261</v>
      </c>
      <c r="G103" s="19" t="n">
        <v>2.54002</v>
      </c>
      <c r="H103" s="18" t="n">
        <v>0.19195</v>
      </c>
      <c r="I103" s="18" t="n">
        <v>13.161</v>
      </c>
      <c r="J103" s="18" t="n">
        <v>0.6379899999999999</v>
      </c>
      <c r="K103" s="18" t="n">
        <v>8.361840000000001</v>
      </c>
    </row>
    <row r="104">
      <c r="A104" s="9" t="inlineStr"/>
      <c r="B104" s="9" t="inlineStr">
        <is>
          <t>Ratio of low-pass Pyramid (RP)</t>
        </is>
      </c>
      <c r="C104" s="19" t="n">
        <v>7.23045</v>
      </c>
      <c r="D104" s="18" t="n">
        <v>0.15536</v>
      </c>
      <c r="E104" s="19" t="n">
        <v>1.16405</v>
      </c>
      <c r="F104" s="18" t="n">
        <v>0.03009</v>
      </c>
      <c r="G104" s="18" t="n">
        <v>0.77905</v>
      </c>
      <c r="H104" s="18" t="n">
        <v>0.38869</v>
      </c>
      <c r="I104" s="18" t="n">
        <v>13.14571</v>
      </c>
      <c r="J104" s="18" t="n">
        <v>0.56352</v>
      </c>
      <c r="K104" s="18" t="n">
        <v>11.0215</v>
      </c>
    </row>
    <row r="105">
      <c r="A105" s="9" t="inlineStr"/>
      <c r="B105" s="9" t="inlineStr">
        <is>
          <t>Wavelet discreta (DWT)</t>
        </is>
      </c>
      <c r="C105" s="18" t="n">
        <v>6.99178</v>
      </c>
      <c r="D105" s="18" t="n">
        <v>0.13789</v>
      </c>
      <c r="E105" s="18" t="n">
        <v>1.12563</v>
      </c>
      <c r="F105" s="18" t="n">
        <v>0.02656</v>
      </c>
      <c r="G105" s="18" t="n">
        <v>1.17823</v>
      </c>
      <c r="H105" s="18" t="n">
        <v>0.59076</v>
      </c>
      <c r="I105" s="18" t="n">
        <v>13.83465</v>
      </c>
      <c r="J105" s="18" t="n">
        <v>0.63226</v>
      </c>
      <c r="K105" s="18" t="n">
        <v>11.20686</v>
      </c>
    </row>
    <row r="106">
      <c r="A106" s="9" t="inlineStr"/>
      <c r="B106" s="9" t="inlineStr">
        <is>
          <t>Dual-Tree Complex Wavelet (DTCWT)</t>
        </is>
      </c>
      <c r="C106" s="18" t="n">
        <v>6.99567</v>
      </c>
      <c r="D106" s="18" t="n">
        <v>0.13793</v>
      </c>
      <c r="E106" s="18" t="n">
        <v>1.12626</v>
      </c>
      <c r="F106" s="18" t="n">
        <v>0.02475</v>
      </c>
      <c r="G106" s="18" t="n">
        <v>1.1741</v>
      </c>
      <c r="H106" s="18" t="n">
        <v>0.56615</v>
      </c>
      <c r="I106" s="18" t="n">
        <v>13.03147</v>
      </c>
      <c r="J106" s="19" t="n">
        <v>0.65846</v>
      </c>
      <c r="K106" s="18" t="n">
        <v>11.21098</v>
      </c>
    </row>
    <row r="107">
      <c r="A107" s="9" t="inlineStr"/>
      <c r="B107" s="9" t="inlineStr">
        <is>
          <t>Curvelet (CVT)</t>
        </is>
      </c>
      <c r="C107" s="18" t="n">
        <v>6.97636</v>
      </c>
      <c r="D107" s="18" t="n">
        <v>0.13504</v>
      </c>
      <c r="E107" s="18" t="n">
        <v>1.12315</v>
      </c>
      <c r="F107" s="18" t="n">
        <v>0.02527</v>
      </c>
      <c r="G107" s="18" t="n">
        <v>1.23395</v>
      </c>
      <c r="H107" s="19" t="n">
        <v>0.62229</v>
      </c>
      <c r="I107" s="18" t="n">
        <v>13.23925</v>
      </c>
      <c r="J107" s="18" t="n">
        <v>0.6505300000000001</v>
      </c>
      <c r="K107" s="19" t="n">
        <v>11.2204</v>
      </c>
    </row>
    <row r="108">
      <c r="A108" s="9" t="inlineStr"/>
      <c r="B108" s="9" t="inlineStr">
        <is>
          <t>Top-Hat clásico</t>
        </is>
      </c>
      <c r="C108" s="18" t="n">
        <v>7.16513</v>
      </c>
      <c r="D108" s="18" t="n">
        <v>0.15199</v>
      </c>
      <c r="E108" s="18" t="n">
        <v>1.15354</v>
      </c>
      <c r="F108" s="19" t="n">
        <v>0.04548</v>
      </c>
      <c r="G108" s="18" t="n">
        <v>0.96589</v>
      </c>
      <c r="H108" s="18" t="n">
        <v>0.33751</v>
      </c>
      <c r="I108" s="19" t="n">
        <v>22.3723</v>
      </c>
      <c r="J108" s="18" t="n">
        <v>0.50989</v>
      </c>
      <c r="K108" s="18" t="n">
        <v>11.09177</v>
      </c>
    </row>
    <row r="109">
      <c r="A109" s="9" t="inlineStr"/>
      <c r="B109" s="8" t="inlineStr">
        <is>
          <t>PROPUESTA NOVEDOSA (r=25, m=0,30)</t>
        </is>
      </c>
      <c r="C109" s="18" t="n">
        <v>7.22417</v>
      </c>
      <c r="D109" s="18" t="n">
        <v>0.15721</v>
      </c>
      <c r="E109" s="18" t="n">
        <v>1.16304</v>
      </c>
      <c r="F109" s="18" t="n">
        <v>0.03191</v>
      </c>
      <c r="G109" s="18" t="n">
        <v>1.03259</v>
      </c>
      <c r="H109" s="18" t="n">
        <v>0.4759</v>
      </c>
      <c r="I109" s="18" t="n">
        <v>15.28394</v>
      </c>
      <c r="J109" s="18" t="n">
        <v>0.6042999999999999</v>
      </c>
      <c r="K109" s="18" t="n">
        <v>11.12007</v>
      </c>
    </row>
    <row r="110">
      <c r="A110" s="8" t="inlineStr">
        <is>
          <t>Athena_soldier_behind_smoke_3_meting012-1700</t>
        </is>
      </c>
      <c r="B110" s="9" t="inlineStr">
        <is>
          <t>Pirámide de Laplace (LP)</t>
        </is>
      </c>
      <c r="C110" s="19" t="n">
        <v>7.36929</v>
      </c>
      <c r="D110" s="19" t="n">
        <v>0.20009</v>
      </c>
      <c r="E110" s="19" t="n">
        <v>1.05332</v>
      </c>
      <c r="F110" s="18" t="n">
        <v>0.03344</v>
      </c>
      <c r="G110" s="19" t="n">
        <v>3.04556</v>
      </c>
      <c r="H110" s="18" t="n">
        <v>0.15028</v>
      </c>
      <c r="I110" s="18" t="n">
        <v>16.54316</v>
      </c>
      <c r="J110" s="18" t="n">
        <v>0.63718</v>
      </c>
      <c r="K110" s="18" t="n">
        <v>10.99661</v>
      </c>
    </row>
    <row r="111">
      <c r="A111" s="9" t="inlineStr"/>
      <c r="B111" s="9" t="inlineStr">
        <is>
          <t>Ratio of low-pass Pyramid (RP)</t>
        </is>
      </c>
      <c r="C111" s="18" t="n">
        <v>7.119</v>
      </c>
      <c r="D111" s="18" t="n">
        <v>0.13968</v>
      </c>
      <c r="E111" s="18" t="n">
        <v>1.01754</v>
      </c>
      <c r="F111" s="18" t="n">
        <v>0.03208</v>
      </c>
      <c r="G111" s="18" t="n">
        <v>0.86066</v>
      </c>
      <c r="H111" s="19" t="n">
        <v>0.30888</v>
      </c>
      <c r="I111" s="18" t="n">
        <v>14.83563</v>
      </c>
      <c r="J111" s="18" t="n">
        <v>0.64057</v>
      </c>
      <c r="K111" s="18" t="n">
        <v>13.67704</v>
      </c>
    </row>
    <row r="112">
      <c r="A112" s="9" t="inlineStr"/>
      <c r="B112" s="9" t="inlineStr">
        <is>
          <t>Wavelet discreta (DWT)</t>
        </is>
      </c>
      <c r="C112" s="18" t="n">
        <v>6.98599</v>
      </c>
      <c r="D112" s="18" t="n">
        <v>0.12679</v>
      </c>
      <c r="E112" s="18" t="n">
        <v>0.99853</v>
      </c>
      <c r="F112" s="18" t="n">
        <v>0.03577</v>
      </c>
      <c r="G112" s="18" t="n">
        <v>1.1015</v>
      </c>
      <c r="H112" s="18" t="n">
        <v>0.21644</v>
      </c>
      <c r="I112" s="18" t="n">
        <v>17.19472</v>
      </c>
      <c r="J112" s="18" t="n">
        <v>0.62488</v>
      </c>
      <c r="K112" s="18" t="n">
        <v>13.81986</v>
      </c>
    </row>
    <row r="113">
      <c r="A113" s="9" t="inlineStr"/>
      <c r="B113" s="9" t="inlineStr">
        <is>
          <t>Dual-Tree Complex Wavelet (DTCWT)</t>
        </is>
      </c>
      <c r="C113" s="18" t="n">
        <v>6.99019</v>
      </c>
      <c r="D113" s="18" t="n">
        <v>0.12725</v>
      </c>
      <c r="E113" s="18" t="n">
        <v>0.99913</v>
      </c>
      <c r="F113" s="18" t="n">
        <v>0.03395</v>
      </c>
      <c r="G113" s="18" t="n">
        <v>1.11374</v>
      </c>
      <c r="H113" s="18" t="n">
        <v>0.21943</v>
      </c>
      <c r="I113" s="18" t="n">
        <v>16.39519</v>
      </c>
      <c r="J113" s="19" t="n">
        <v>0.65011</v>
      </c>
      <c r="K113" s="18" t="n">
        <v>13.82819</v>
      </c>
    </row>
    <row r="114">
      <c r="A114" s="9" t="inlineStr"/>
      <c r="B114" s="9" t="inlineStr">
        <is>
          <t>Curvelet (CVT)</t>
        </is>
      </c>
      <c r="C114" s="18" t="n">
        <v>6.96759</v>
      </c>
      <c r="D114" s="18" t="n">
        <v>0.12283</v>
      </c>
      <c r="E114" s="18" t="n">
        <v>0.9959</v>
      </c>
      <c r="F114" s="18" t="n">
        <v>0.03442</v>
      </c>
      <c r="G114" s="18" t="n">
        <v>1.14072</v>
      </c>
      <c r="H114" s="18" t="n">
        <v>0.21818</v>
      </c>
      <c r="I114" s="18" t="n">
        <v>16.52297</v>
      </c>
      <c r="J114" s="18" t="n">
        <v>0.6403799999999999</v>
      </c>
      <c r="K114" s="19" t="n">
        <v>13.85431</v>
      </c>
    </row>
    <row r="115">
      <c r="A115" s="9" t="inlineStr"/>
      <c r="B115" s="9" t="inlineStr">
        <is>
          <t>Top-Hat clásico</t>
        </is>
      </c>
      <c r="C115" s="18" t="n">
        <v>7.24181</v>
      </c>
      <c r="D115" s="18" t="n">
        <v>0.15055</v>
      </c>
      <c r="E115" s="18" t="n">
        <v>1.0351</v>
      </c>
      <c r="F115" s="19" t="n">
        <v>0.06809999999999999</v>
      </c>
      <c r="G115" s="18" t="n">
        <v>0.80605</v>
      </c>
      <c r="H115" s="18" t="n">
        <v>0.13159</v>
      </c>
      <c r="I115" s="19" t="n">
        <v>31.50251</v>
      </c>
      <c r="J115" s="18" t="n">
        <v>0.46877</v>
      </c>
      <c r="K115" s="18" t="n">
        <v>13.42753</v>
      </c>
    </row>
    <row r="116">
      <c r="A116" s="9" t="inlineStr"/>
      <c r="B116" s="8" t="inlineStr">
        <is>
          <t>PROPUESTA NOVEDOSA (r=25, m=0,30)</t>
        </is>
      </c>
      <c r="C116" s="18" t="n">
        <v>7.3131</v>
      </c>
      <c r="D116" s="18" t="n">
        <v>0.15689</v>
      </c>
      <c r="E116" s="18" t="n">
        <v>1.04529</v>
      </c>
      <c r="F116" s="18" t="n">
        <v>0.04674</v>
      </c>
      <c r="G116" s="18" t="n">
        <v>1.01998</v>
      </c>
      <c r="H116" s="18" t="n">
        <v>0.21793</v>
      </c>
      <c r="I116" s="18" t="n">
        <v>21.52529</v>
      </c>
      <c r="J116" s="18" t="n">
        <v>0.58462</v>
      </c>
      <c r="K116" s="18" t="n">
        <v>13.55303</v>
      </c>
    </row>
    <row r="117">
      <c r="A117" s="8" t="inlineStr">
        <is>
          <t>Athena_soldier_in_trench_1_meting016</t>
        </is>
      </c>
      <c r="B117" s="9" t="inlineStr">
        <is>
          <t>Pirámide de Laplace (LP)</t>
        </is>
      </c>
      <c r="C117" s="19" t="n">
        <v>7.14848</v>
      </c>
      <c r="D117" s="19" t="n">
        <v>0.17319</v>
      </c>
      <c r="E117" s="19" t="n">
        <v>1.04241</v>
      </c>
      <c r="F117" s="18" t="n">
        <v>0.02635</v>
      </c>
      <c r="G117" s="19" t="n">
        <v>2.88781</v>
      </c>
      <c r="H117" s="19" t="n">
        <v>0.73847</v>
      </c>
      <c r="I117" s="18" t="n">
        <v>14.31045</v>
      </c>
      <c r="J117" s="18" t="n">
        <v>0.7136</v>
      </c>
      <c r="K117" s="18" t="n">
        <v>13.88338</v>
      </c>
    </row>
    <row r="118">
      <c r="A118" s="9" t="inlineStr"/>
      <c r="B118" s="9" t="inlineStr">
        <is>
          <t>Ratio of low-pass Pyramid (RP)</t>
        </is>
      </c>
      <c r="C118" s="18" t="n">
        <v>6.77201</v>
      </c>
      <c r="D118" s="18" t="n">
        <v>0.11813</v>
      </c>
      <c r="E118" s="18" t="n">
        <v>0.98751</v>
      </c>
      <c r="F118" s="18" t="n">
        <v>0.02542</v>
      </c>
      <c r="G118" s="18" t="n">
        <v>1.29178</v>
      </c>
      <c r="H118" s="18" t="n">
        <v>0.45328</v>
      </c>
      <c r="I118" s="18" t="n">
        <v>13.2212</v>
      </c>
      <c r="J118" s="19" t="n">
        <v>0.73645</v>
      </c>
      <c r="K118" s="18" t="n">
        <v>16.48982</v>
      </c>
    </row>
    <row r="119">
      <c r="A119" s="9" t="inlineStr"/>
      <c r="B119" s="9" t="inlineStr">
        <is>
          <t>Wavelet discreta (DWT)</t>
        </is>
      </c>
      <c r="C119" s="18" t="n">
        <v>6.70023</v>
      </c>
      <c r="D119" s="18" t="n">
        <v>0.11031</v>
      </c>
      <c r="E119" s="18" t="n">
        <v>0.97704</v>
      </c>
      <c r="F119" s="18" t="n">
        <v>0.02764</v>
      </c>
      <c r="G119" s="18" t="n">
        <v>1.24388</v>
      </c>
      <c r="H119" s="18" t="n">
        <v>0.46291</v>
      </c>
      <c r="I119" s="18" t="n">
        <v>14.88437</v>
      </c>
      <c r="J119" s="18" t="n">
        <v>0.70481</v>
      </c>
      <c r="K119" s="18" t="n">
        <v>16.58783</v>
      </c>
    </row>
    <row r="120">
      <c r="A120" s="9" t="inlineStr"/>
      <c r="B120" s="9" t="inlineStr">
        <is>
          <t>Dual-Tree Complex Wavelet (DTCWT)</t>
        </is>
      </c>
      <c r="C120" s="18" t="n">
        <v>6.7096</v>
      </c>
      <c r="D120" s="18" t="n">
        <v>0.11112</v>
      </c>
      <c r="E120" s="18" t="n">
        <v>0.97841</v>
      </c>
      <c r="F120" s="18" t="n">
        <v>0.02622</v>
      </c>
      <c r="G120" s="18" t="n">
        <v>1.21747</v>
      </c>
      <c r="H120" s="18" t="n">
        <v>0.47313</v>
      </c>
      <c r="I120" s="18" t="n">
        <v>14.18233</v>
      </c>
      <c r="J120" s="18" t="n">
        <v>0.724</v>
      </c>
      <c r="K120" s="18" t="n">
        <v>16.58643</v>
      </c>
    </row>
    <row r="121">
      <c r="A121" s="9" t="inlineStr"/>
      <c r="B121" s="9" t="inlineStr">
        <is>
          <t>Curvelet (CVT)</t>
        </is>
      </c>
      <c r="C121" s="18" t="n">
        <v>6.67725</v>
      </c>
      <c r="D121" s="18" t="n">
        <v>0.10459</v>
      </c>
      <c r="E121" s="18" t="n">
        <v>0.9736900000000001</v>
      </c>
      <c r="F121" s="18" t="n">
        <v>0.02626</v>
      </c>
      <c r="G121" s="18" t="n">
        <v>1.26121</v>
      </c>
      <c r="H121" s="18" t="n">
        <v>0.46714</v>
      </c>
      <c r="I121" s="18" t="n">
        <v>13.97959</v>
      </c>
      <c r="J121" s="18" t="n">
        <v>0.71839</v>
      </c>
      <c r="K121" s="19" t="n">
        <v>16.6703</v>
      </c>
    </row>
    <row r="122">
      <c r="A122" s="9" t="inlineStr"/>
      <c r="B122" s="9" t="inlineStr">
        <is>
          <t>Top-Hat clásico</t>
        </is>
      </c>
      <c r="C122" s="18" t="n">
        <v>6.93055</v>
      </c>
      <c r="D122" s="18" t="n">
        <v>0.12858</v>
      </c>
      <c r="E122" s="18" t="n">
        <v>1.01063</v>
      </c>
      <c r="F122" s="19" t="n">
        <v>0.05075</v>
      </c>
      <c r="G122" s="18" t="n">
        <v>0.84544</v>
      </c>
      <c r="H122" s="18" t="n">
        <v>0.32573</v>
      </c>
      <c r="I122" s="19" t="n">
        <v>24.30066</v>
      </c>
      <c r="J122" s="18" t="n">
        <v>0.52439</v>
      </c>
      <c r="K122" s="18" t="n">
        <v>16.16213</v>
      </c>
    </row>
    <row r="123">
      <c r="A123" s="9" t="inlineStr"/>
      <c r="B123" s="8" t="inlineStr">
        <is>
          <t>PROPUESTA NOVEDOSA (r=25, m=0,30)</t>
        </is>
      </c>
      <c r="C123" s="18" t="n">
        <v>6.99043</v>
      </c>
      <c r="D123" s="18" t="n">
        <v>0.13208</v>
      </c>
      <c r="E123" s="18" t="n">
        <v>1.01936</v>
      </c>
      <c r="F123" s="18" t="n">
        <v>0.03659</v>
      </c>
      <c r="G123" s="18" t="n">
        <v>1.02335</v>
      </c>
      <c r="H123" s="18" t="n">
        <v>0.37949</v>
      </c>
      <c r="I123" s="18" t="n">
        <v>18.10696</v>
      </c>
      <c r="J123" s="18" t="n">
        <v>0.64312</v>
      </c>
      <c r="K123" s="18" t="n">
        <v>16.19171</v>
      </c>
    </row>
    <row r="124">
      <c r="A124" s="8" t="inlineStr">
        <is>
          <t>Athena_soldier_in_trench_2_meting055</t>
        </is>
      </c>
      <c r="B124" s="9" t="inlineStr">
        <is>
          <t>Pirámide de Laplace (LP)</t>
        </is>
      </c>
      <c r="C124" s="18" t="n">
        <v>6.73158</v>
      </c>
      <c r="D124" s="19" t="n">
        <v>0.12279</v>
      </c>
      <c r="E124" s="18" t="n">
        <v>1.0193</v>
      </c>
      <c r="F124" s="18" t="n">
        <v>0.02951</v>
      </c>
      <c r="G124" s="19" t="n">
        <v>2.15668</v>
      </c>
      <c r="H124" s="19" t="n">
        <v>0.54261</v>
      </c>
      <c r="I124" s="18" t="n">
        <v>15.11527</v>
      </c>
      <c r="J124" s="18" t="n">
        <v>0.69969</v>
      </c>
      <c r="K124" s="18" t="n">
        <v>16.70199</v>
      </c>
    </row>
    <row r="125">
      <c r="A125" s="9" t="inlineStr"/>
      <c r="B125" s="9" t="inlineStr">
        <is>
          <t>Ratio of low-pass Pyramid (RP)</t>
        </is>
      </c>
      <c r="C125" s="18" t="n">
        <v>6.63621</v>
      </c>
      <c r="D125" s="18" t="n">
        <v>0.10289</v>
      </c>
      <c r="E125" s="18" t="n">
        <v>1.00486</v>
      </c>
      <c r="F125" s="18" t="n">
        <v>0.03049</v>
      </c>
      <c r="G125" s="18" t="n">
        <v>1.37868</v>
      </c>
      <c r="H125" s="18" t="n">
        <v>0.21375</v>
      </c>
      <c r="I125" s="18" t="n">
        <v>14.94544</v>
      </c>
      <c r="J125" s="18" t="n">
        <v>0.6988</v>
      </c>
      <c r="K125" s="18" t="n">
        <v>19.11213</v>
      </c>
    </row>
    <row r="126">
      <c r="A126" s="9" t="inlineStr"/>
      <c r="B126" s="9" t="inlineStr">
        <is>
          <t>Wavelet discreta (DWT)</t>
        </is>
      </c>
      <c r="C126" s="18" t="n">
        <v>6.48079</v>
      </c>
      <c r="D126" s="18" t="n">
        <v>0.09335</v>
      </c>
      <c r="E126" s="18" t="n">
        <v>0.98133</v>
      </c>
      <c r="F126" s="18" t="n">
        <v>0.0301</v>
      </c>
      <c r="G126" s="18" t="n">
        <v>1.3427</v>
      </c>
      <c r="H126" s="18" t="n">
        <v>0.20189</v>
      </c>
      <c r="I126" s="18" t="n">
        <v>15.22199</v>
      </c>
      <c r="J126" s="18" t="n">
        <v>0.69501</v>
      </c>
      <c r="K126" s="18" t="n">
        <v>19.29144</v>
      </c>
    </row>
    <row r="127">
      <c r="A127" s="9" t="inlineStr"/>
      <c r="B127" s="9" t="inlineStr">
        <is>
          <t>Dual-Tree Complex Wavelet (DTCWT)</t>
        </is>
      </c>
      <c r="C127" s="18" t="n">
        <v>6.48436</v>
      </c>
      <c r="D127" s="18" t="n">
        <v>0.09447999999999999</v>
      </c>
      <c r="E127" s="18" t="n">
        <v>0.98187</v>
      </c>
      <c r="F127" s="18" t="n">
        <v>0.02939</v>
      </c>
      <c r="G127" s="18" t="n">
        <v>1.32576</v>
      </c>
      <c r="H127" s="18" t="n">
        <v>0.21249</v>
      </c>
      <c r="I127" s="18" t="n">
        <v>14.84191</v>
      </c>
      <c r="J127" s="19" t="n">
        <v>0.70927</v>
      </c>
      <c r="K127" s="18" t="n">
        <v>19.27657</v>
      </c>
    </row>
    <row r="128">
      <c r="A128" s="9" t="inlineStr"/>
      <c r="B128" s="9" t="inlineStr">
        <is>
          <t>Curvelet (CVT)</t>
        </is>
      </c>
      <c r="C128" s="18" t="n">
        <v>6.44778</v>
      </c>
      <c r="D128" s="18" t="n">
        <v>0.08896</v>
      </c>
      <c r="E128" s="18" t="n">
        <v>0.97633</v>
      </c>
      <c r="F128" s="18" t="n">
        <v>0.02929</v>
      </c>
      <c r="G128" s="18" t="n">
        <v>1.34281</v>
      </c>
      <c r="H128" s="18" t="n">
        <v>0.19762</v>
      </c>
      <c r="I128" s="18" t="n">
        <v>14.83737</v>
      </c>
      <c r="J128" s="18" t="n">
        <v>0.70504</v>
      </c>
      <c r="K128" s="19" t="n">
        <v>19.37928</v>
      </c>
    </row>
    <row r="129">
      <c r="A129" s="9" t="inlineStr"/>
      <c r="B129" s="9" t="inlineStr">
        <is>
          <t>Top-Hat clásico</t>
        </is>
      </c>
      <c r="C129" s="18" t="n">
        <v>6.79983</v>
      </c>
      <c r="D129" s="18" t="n">
        <v>0.11783</v>
      </c>
      <c r="E129" s="18" t="n">
        <v>1.02964</v>
      </c>
      <c r="F129" s="19" t="n">
        <v>0.06115</v>
      </c>
      <c r="G129" s="18" t="n">
        <v>0.73865</v>
      </c>
      <c r="H129" s="18" t="n">
        <v>0.13575</v>
      </c>
      <c r="I129" s="19" t="n">
        <v>28.38415</v>
      </c>
      <c r="J129" s="18" t="n">
        <v>0.47753</v>
      </c>
      <c r="K129" s="18" t="n">
        <v>18.25096</v>
      </c>
    </row>
    <row r="130">
      <c r="A130" s="9" t="inlineStr"/>
      <c r="B130" s="8" t="inlineStr">
        <is>
          <t>PROPUESTA NOVEDOSA (r=25, m=0,30)</t>
        </is>
      </c>
      <c r="C130" s="19" t="n">
        <v>6.86852</v>
      </c>
      <c r="D130" s="18" t="n">
        <v>0.12106</v>
      </c>
      <c r="E130" s="19" t="n">
        <v>1.04004</v>
      </c>
      <c r="F130" s="18" t="n">
        <v>0.04383</v>
      </c>
      <c r="G130" s="18" t="n">
        <v>1.0178</v>
      </c>
      <c r="H130" s="18" t="n">
        <v>0.19241</v>
      </c>
      <c r="I130" s="18" t="n">
        <v>20.84752</v>
      </c>
      <c r="J130" s="18" t="n">
        <v>0.60032</v>
      </c>
      <c r="K130" s="18" t="n">
        <v>18.43041</v>
      </c>
    </row>
    <row r="131">
      <c r="A131" s="8" t="inlineStr">
        <is>
          <t>Triclobs_Bosnia_R</t>
        </is>
      </c>
      <c r="B131" s="9" t="inlineStr">
        <is>
          <t>Pirámide de Laplace (LP)</t>
        </is>
      </c>
      <c r="C131" s="18" t="n">
        <v>6.6608</v>
      </c>
      <c r="D131" s="18" t="n">
        <v>0.20848</v>
      </c>
      <c r="E131" s="18" t="n">
        <v>1.118</v>
      </c>
      <c r="F131" s="18" t="n">
        <v>0.02039</v>
      </c>
      <c r="G131" s="18" t="n">
        <v>0.5946900000000001</v>
      </c>
      <c r="H131" s="19" t="n">
        <v>2.23326</v>
      </c>
      <c r="I131" s="18" t="n">
        <v>14.33327</v>
      </c>
      <c r="J131" s="18" t="n">
        <v>0.7113699999999999</v>
      </c>
      <c r="K131" s="18" t="n">
        <v>12.8646</v>
      </c>
    </row>
    <row r="132">
      <c r="A132" s="9" t="inlineStr"/>
      <c r="B132" s="9" t="inlineStr">
        <is>
          <t>Ratio of low-pass Pyramid (RP)</t>
        </is>
      </c>
      <c r="C132" s="18" t="n">
        <v>6.84209</v>
      </c>
      <c r="D132" s="18" t="n">
        <v>0.1981</v>
      </c>
      <c r="E132" s="18" t="n">
        <v>1.14843</v>
      </c>
      <c r="F132" s="18" t="n">
        <v>0.02799</v>
      </c>
      <c r="G132" s="18" t="n">
        <v>1.01516</v>
      </c>
      <c r="H132" s="18" t="n">
        <v>1.18966</v>
      </c>
      <c r="I132" s="18" t="n">
        <v>16.30418</v>
      </c>
      <c r="J132" s="18" t="n">
        <v>0.66851</v>
      </c>
      <c r="K132" s="18" t="n">
        <v>15.65191</v>
      </c>
    </row>
    <row r="133">
      <c r="A133" s="9" t="inlineStr"/>
      <c r="B133" s="9" t="inlineStr">
        <is>
          <t>Wavelet discreta (DWT)</t>
        </is>
      </c>
      <c r="C133" s="18" t="n">
        <v>6.82623</v>
      </c>
      <c r="D133" s="18" t="n">
        <v>0.19539</v>
      </c>
      <c r="E133" s="18" t="n">
        <v>1.14577</v>
      </c>
      <c r="F133" s="18" t="n">
        <v>0.02324</v>
      </c>
      <c r="G133" s="19" t="n">
        <v>1.02081</v>
      </c>
      <c r="H133" s="18" t="n">
        <v>1.47385</v>
      </c>
      <c r="I133" s="18" t="n">
        <v>15.47238</v>
      </c>
      <c r="J133" s="18" t="n">
        <v>0.72483</v>
      </c>
      <c r="K133" s="18" t="n">
        <v>15.67583</v>
      </c>
    </row>
    <row r="134">
      <c r="A134" s="9" t="inlineStr"/>
      <c r="B134" s="9" t="inlineStr">
        <is>
          <t>Dual-Tree Complex Wavelet (DTCWT)</t>
        </is>
      </c>
      <c r="C134" s="18" t="n">
        <v>6.85274</v>
      </c>
      <c r="D134" s="18" t="n">
        <v>0.19517</v>
      </c>
      <c r="E134" s="18" t="n">
        <v>1.15022</v>
      </c>
      <c r="F134" s="18" t="n">
        <v>0.02177</v>
      </c>
      <c r="G134" s="18" t="n">
        <v>0.98306</v>
      </c>
      <c r="H134" s="18" t="n">
        <v>1.38871</v>
      </c>
      <c r="I134" s="18" t="n">
        <v>14.45144</v>
      </c>
      <c r="J134" s="19" t="n">
        <v>0.73633</v>
      </c>
      <c r="K134" s="18" t="n">
        <v>15.69059</v>
      </c>
    </row>
    <row r="135">
      <c r="A135" s="9" t="inlineStr"/>
      <c r="B135" s="9" t="inlineStr">
        <is>
          <t>Curvelet (CVT)</t>
        </is>
      </c>
      <c r="C135" s="18" t="n">
        <v>6.7869</v>
      </c>
      <c r="D135" s="18" t="n">
        <v>0.19204</v>
      </c>
      <c r="E135" s="18" t="n">
        <v>1.13917</v>
      </c>
      <c r="F135" s="18" t="n">
        <v>0.02258</v>
      </c>
      <c r="G135" s="18" t="n">
        <v>1.00349</v>
      </c>
      <c r="H135" s="18" t="n">
        <v>1.40862</v>
      </c>
      <c r="I135" s="18" t="n">
        <v>14.49227</v>
      </c>
      <c r="J135" s="18" t="n">
        <v>0.7296899999999999</v>
      </c>
      <c r="K135" s="19" t="n">
        <v>15.74157</v>
      </c>
    </row>
    <row r="136">
      <c r="A136" s="9" t="inlineStr"/>
      <c r="B136" s="9" t="inlineStr">
        <is>
          <t>Top-Hat clásico</t>
        </is>
      </c>
      <c r="C136" s="18" t="n">
        <v>6.95871</v>
      </c>
      <c r="D136" s="18" t="n">
        <v>0.20357</v>
      </c>
      <c r="E136" s="18" t="n">
        <v>1.168</v>
      </c>
      <c r="F136" s="19" t="n">
        <v>0.04013</v>
      </c>
      <c r="G136" s="18" t="n">
        <v>0.89691</v>
      </c>
      <c r="H136" s="18" t="n">
        <v>1.10565</v>
      </c>
      <c r="I136" s="19" t="n">
        <v>24.003</v>
      </c>
      <c r="J136" s="18" t="n">
        <v>0.57218</v>
      </c>
      <c r="K136" s="18" t="n">
        <v>15.33263</v>
      </c>
    </row>
    <row r="137">
      <c r="A137" s="9" t="inlineStr"/>
      <c r="B137" s="8" t="inlineStr">
        <is>
          <t>PROPUESTA NOVEDOSA (r=25, m=0,30)</t>
        </is>
      </c>
      <c r="C137" s="19" t="n">
        <v>6.97538</v>
      </c>
      <c r="D137" s="19" t="n">
        <v>0.22364</v>
      </c>
      <c r="E137" s="19" t="n">
        <v>1.1708</v>
      </c>
      <c r="F137" s="18" t="n">
        <v>0.02965</v>
      </c>
      <c r="G137" s="18" t="n">
        <v>0.88741</v>
      </c>
      <c r="H137" s="18" t="n">
        <v>1.31187</v>
      </c>
      <c r="I137" s="18" t="n">
        <v>18.8666</v>
      </c>
      <c r="J137" s="18" t="n">
        <v>0.68531</v>
      </c>
      <c r="K137" s="18" t="n">
        <v>15.00983</v>
      </c>
    </row>
    <row r="138">
      <c r="A138" s="8" t="inlineStr">
        <is>
          <t>Triclobs_jeep_in_smoke_R</t>
        </is>
      </c>
      <c r="B138" s="9" t="inlineStr">
        <is>
          <t>Pirámide de Laplace (LP)</t>
        </is>
      </c>
      <c r="C138" s="18" t="n">
        <v>6.93067</v>
      </c>
      <c r="D138" s="18" t="n">
        <v>0.14345</v>
      </c>
      <c r="E138" s="18" t="n">
        <v>1.01463</v>
      </c>
      <c r="F138" s="18" t="n">
        <v>0.03888</v>
      </c>
      <c r="G138" s="18" t="n">
        <v>0.8821</v>
      </c>
      <c r="H138" s="19" t="n">
        <v>1.38236</v>
      </c>
      <c r="I138" s="18" t="n">
        <v>22.47202</v>
      </c>
      <c r="J138" s="18" t="n">
        <v>0.6109</v>
      </c>
      <c r="K138" s="18" t="n">
        <v>14.06184</v>
      </c>
    </row>
    <row r="139">
      <c r="A139" s="9" t="inlineStr"/>
      <c r="B139" s="9" t="inlineStr">
        <is>
          <t>Ratio of low-pass Pyramid (RP)</t>
        </is>
      </c>
      <c r="C139" s="18" t="n">
        <v>7.1874</v>
      </c>
      <c r="D139" s="18" t="n">
        <v>0.14957</v>
      </c>
      <c r="E139" s="18" t="n">
        <v>1.05222</v>
      </c>
      <c r="F139" s="18" t="n">
        <v>0.04906</v>
      </c>
      <c r="G139" s="18" t="n">
        <v>1.32143</v>
      </c>
      <c r="H139" s="18" t="n">
        <v>0.93947</v>
      </c>
      <c r="I139" s="18" t="n">
        <v>26.71208</v>
      </c>
      <c r="J139" s="18" t="n">
        <v>0.59653</v>
      </c>
      <c r="K139" s="18" t="n">
        <v>16.34186</v>
      </c>
    </row>
    <row r="140">
      <c r="A140" s="9" t="inlineStr"/>
      <c r="B140" s="9" t="inlineStr">
        <is>
          <t>Wavelet discreta (DWT)</t>
        </is>
      </c>
      <c r="C140" s="18" t="n">
        <v>7.10092</v>
      </c>
      <c r="D140" s="18" t="n">
        <v>0.13585</v>
      </c>
      <c r="E140" s="18" t="n">
        <v>1.03956</v>
      </c>
      <c r="F140" s="18" t="n">
        <v>0.04219</v>
      </c>
      <c r="G140" s="18" t="n">
        <v>1.34031</v>
      </c>
      <c r="H140" s="18" t="n">
        <v>1.00889</v>
      </c>
      <c r="I140" s="18" t="n">
        <v>23.63965</v>
      </c>
      <c r="J140" s="18" t="n">
        <v>0.62621</v>
      </c>
      <c r="K140" s="18" t="n">
        <v>16.62357</v>
      </c>
    </row>
    <row r="141">
      <c r="A141" s="9" t="inlineStr"/>
      <c r="B141" s="9" t="inlineStr">
        <is>
          <t>Dual-Tree Complex Wavelet (DTCWT)</t>
        </is>
      </c>
      <c r="C141" s="18" t="n">
        <v>7.10352</v>
      </c>
      <c r="D141" s="18" t="n">
        <v>0.13673</v>
      </c>
      <c r="E141" s="18" t="n">
        <v>1.03994</v>
      </c>
      <c r="F141" s="18" t="n">
        <v>0.04012</v>
      </c>
      <c r="G141" s="19" t="n">
        <v>1.38081</v>
      </c>
      <c r="H141" s="18" t="n">
        <v>0.99291</v>
      </c>
      <c r="I141" s="18" t="n">
        <v>22.59167</v>
      </c>
      <c r="J141" s="19" t="n">
        <v>0.6383799999999999</v>
      </c>
      <c r="K141" s="18" t="n">
        <v>16.6409</v>
      </c>
    </row>
    <row r="142">
      <c r="A142" s="9" t="inlineStr"/>
      <c r="B142" s="9" t="inlineStr">
        <is>
          <t>Curvelet (CVT)</t>
        </is>
      </c>
      <c r="C142" s="18" t="n">
        <v>7.06123</v>
      </c>
      <c r="D142" s="18" t="n">
        <v>0.13242</v>
      </c>
      <c r="E142" s="18" t="n">
        <v>1.03375</v>
      </c>
      <c r="F142" s="18" t="n">
        <v>0.0416</v>
      </c>
      <c r="G142" s="18" t="n">
        <v>1.30723</v>
      </c>
      <c r="H142" s="18" t="n">
        <v>0.98019</v>
      </c>
      <c r="I142" s="18" t="n">
        <v>22.92362</v>
      </c>
      <c r="J142" s="18" t="n">
        <v>0.63071</v>
      </c>
      <c r="K142" s="19" t="n">
        <v>16.69141</v>
      </c>
    </row>
    <row r="143">
      <c r="A143" s="9" t="inlineStr"/>
      <c r="B143" s="9" t="inlineStr">
        <is>
          <t>Top-Hat clásico</t>
        </is>
      </c>
      <c r="C143" s="18" t="n">
        <v>7.3674</v>
      </c>
      <c r="D143" s="18" t="n">
        <v>0.16592</v>
      </c>
      <c r="E143" s="18" t="n">
        <v>1.07857</v>
      </c>
      <c r="F143" s="19" t="n">
        <v>0.08152</v>
      </c>
      <c r="G143" s="18" t="n">
        <v>0.8535199999999999</v>
      </c>
      <c r="H143" s="18" t="n">
        <v>0.53748</v>
      </c>
      <c r="I143" s="19" t="n">
        <v>44.90313</v>
      </c>
      <c r="J143" s="18" t="n">
        <v>0.45636</v>
      </c>
      <c r="K143" s="18" t="n">
        <v>15.54351</v>
      </c>
    </row>
    <row r="144">
      <c r="A144" s="9" t="inlineStr"/>
      <c r="B144" s="8" t="inlineStr">
        <is>
          <t>PROPUESTA NOVEDOSA (r=25, m=0,30)</t>
        </is>
      </c>
      <c r="C144" s="19" t="n">
        <v>7.39259</v>
      </c>
      <c r="D144" s="19" t="n">
        <v>0.17707</v>
      </c>
      <c r="E144" s="19" t="n">
        <v>1.08226</v>
      </c>
      <c r="F144" s="18" t="n">
        <v>0.05851</v>
      </c>
      <c r="G144" s="18" t="n">
        <v>1.25104</v>
      </c>
      <c r="H144" s="18" t="n">
        <v>0.93977</v>
      </c>
      <c r="I144" s="18" t="n">
        <v>32.4941</v>
      </c>
      <c r="J144" s="18" t="n">
        <v>0.56818</v>
      </c>
      <c r="K144" s="18" t="n">
        <v>15.60396</v>
      </c>
    </row>
    <row r="146">
      <c r="A146" s="7" t="inlineStr">
        <is>
          <t>Recuento sobre las 20 escenas — la propuesta obtiene el mejor valor en: EN 11/20 · SD 8/20 · FE 11/20 · MG 0/20 · MI_vis 0/20 · MI_ir 0/20 · SF 0/20 · SSIM 0/20 · PSNR 0/20. Confirma el patrón de los promedios: lidera las métricas de información y contraste, y cede las de fidelidad a las fuentes.</t>
        </is>
      </c>
    </row>
  </sheetData>
  <autoFilter ref="A4:K14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6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</cols>
  <sheetData>
    <row r="1">
      <c r="A1" s="1" t="inlineStr">
        <is>
          <t>Propuesta novedosa (r=25, m=0,30) — métricas en cada escena del TNO</t>
        </is>
      </c>
    </row>
    <row r="2">
      <c r="A2" s="2" t="inlineStr">
        <is>
          <t>Última fila: promedio y desvío estándar con fórmulas; el promedio coincide con la fila de la hoja Benchmark.</t>
        </is>
      </c>
    </row>
    <row r="4">
      <c r="A4" s="10" t="inlineStr">
        <is>
          <t>Escena</t>
        </is>
      </c>
      <c r="B4" s="10" t="inlineStr">
        <is>
          <t>EN</t>
        </is>
      </c>
      <c r="C4" s="10" t="inlineStr">
        <is>
          <t>SD</t>
        </is>
      </c>
      <c r="D4" s="10" t="inlineStr">
        <is>
          <t>FE</t>
        </is>
      </c>
      <c r="E4" s="10" t="inlineStr">
        <is>
          <t>MG</t>
        </is>
      </c>
      <c r="F4" s="10" t="inlineStr">
        <is>
          <t>MI_vis</t>
        </is>
      </c>
      <c r="G4" s="10" t="inlineStr">
        <is>
          <t>MI_ir</t>
        </is>
      </c>
      <c r="H4" s="10" t="inlineStr">
        <is>
          <t>SF</t>
        </is>
      </c>
      <c r="I4" s="10" t="inlineStr">
        <is>
          <t>SSIM</t>
        </is>
      </c>
      <c r="J4" s="10" t="inlineStr">
        <is>
          <t>PSNR</t>
        </is>
      </c>
    </row>
    <row r="5">
      <c r="A5" s="9" t="inlineStr">
        <is>
          <t>APC_1_view_1_fk_06_005</t>
        </is>
      </c>
      <c r="B5" s="16" t="n">
        <v>6.8649</v>
      </c>
      <c r="C5" s="16" t="n">
        <v>0.1258</v>
      </c>
      <c r="D5" s="16" t="n">
        <v>1.2756</v>
      </c>
      <c r="E5" s="16" t="n">
        <v>0.0339</v>
      </c>
      <c r="F5" s="16" t="n">
        <v>0.5967</v>
      </c>
      <c r="G5" s="16" t="n">
        <v>0.9035</v>
      </c>
      <c r="H5" s="16" t="n">
        <v>19.0093</v>
      </c>
      <c r="I5" s="16" t="n">
        <v>0.6734</v>
      </c>
      <c r="J5" s="16" t="n">
        <v>18.9702</v>
      </c>
    </row>
    <row r="6">
      <c r="A6" s="9" t="inlineStr">
        <is>
          <t>APC_1_view_2_fk_ref_01_005</t>
        </is>
      </c>
      <c r="B6" s="16" t="n">
        <v>7.0457</v>
      </c>
      <c r="C6" s="16" t="n">
        <v>0.1411</v>
      </c>
      <c r="D6" s="16" t="n">
        <v>1.1561</v>
      </c>
      <c r="E6" s="16" t="n">
        <v>0.0334</v>
      </c>
      <c r="F6" s="16" t="n">
        <v>1.0796</v>
      </c>
      <c r="G6" s="16" t="n">
        <v>0.7899</v>
      </c>
      <c r="H6" s="16" t="n">
        <v>18.7637</v>
      </c>
      <c r="I6" s="16" t="n">
        <v>0.71</v>
      </c>
      <c r="J6" s="16" t="n">
        <v>19.9204</v>
      </c>
    </row>
    <row r="7">
      <c r="A7" s="9" t="inlineStr">
        <is>
          <t>APC_1_view_3_fk_ref_02_005</t>
        </is>
      </c>
      <c r="B7" s="16" t="n">
        <v>7.2951</v>
      </c>
      <c r="C7" s="16" t="n">
        <v>0.1705</v>
      </c>
      <c r="D7" s="16" t="n">
        <v>1.136</v>
      </c>
      <c r="E7" s="16" t="n">
        <v>0.0408</v>
      </c>
      <c r="F7" s="16" t="n">
        <v>1.1978</v>
      </c>
      <c r="G7" s="16" t="n">
        <v>0.8427</v>
      </c>
      <c r="H7" s="16" t="n">
        <v>22.1786</v>
      </c>
      <c r="I7" s="16" t="n">
        <v>0.6657</v>
      </c>
      <c r="J7" s="16" t="n">
        <v>18.7957</v>
      </c>
    </row>
    <row r="8">
      <c r="A8" s="9" t="inlineStr">
        <is>
          <t>APC_3_view_1_fk_bar_06_005</t>
        </is>
      </c>
      <c r="B8" s="16" t="n">
        <v>6.9414</v>
      </c>
      <c r="C8" s="16" t="n">
        <v>0.1329</v>
      </c>
      <c r="D8" s="16" t="n">
        <v>1.2722</v>
      </c>
      <c r="E8" s="16" t="n">
        <v>0.0319</v>
      </c>
      <c r="F8" s="16" t="n">
        <v>0.8806</v>
      </c>
      <c r="G8" s="16" t="n">
        <v>1.1302</v>
      </c>
      <c r="H8" s="16" t="n">
        <v>18.3285</v>
      </c>
      <c r="I8" s="16" t="n">
        <v>0.7317</v>
      </c>
      <c r="J8" s="16" t="n">
        <v>21.2257</v>
      </c>
    </row>
    <row r="9">
      <c r="A9" s="9" t="inlineStr">
        <is>
          <t>APC_3_view_2_fk_NL_01_005</t>
        </is>
      </c>
      <c r="B9" s="16" t="n">
        <v>6.9306</v>
      </c>
      <c r="C9" s="16" t="n">
        <v>0.1388</v>
      </c>
      <c r="D9" s="16" t="n">
        <v>1.1601</v>
      </c>
      <c r="E9" s="16" t="n">
        <v>0.0292</v>
      </c>
      <c r="F9" s="16" t="n">
        <v>0.9258999999999999</v>
      </c>
      <c r="G9" s="16" t="n">
        <v>0.8871</v>
      </c>
      <c r="H9" s="16" t="n">
        <v>14.191</v>
      </c>
      <c r="I9" s="16" t="n">
        <v>0.7305</v>
      </c>
      <c r="J9" s="16" t="n">
        <v>19.4966</v>
      </c>
    </row>
    <row r="10">
      <c r="A10" s="9" t="inlineStr">
        <is>
          <t>APC_3_view_3_fk_NL_05_005</t>
        </is>
      </c>
      <c r="B10" s="16" t="n">
        <v>7.0819</v>
      </c>
      <c r="C10" s="16" t="n">
        <v>0.1444</v>
      </c>
      <c r="D10" s="16" t="n">
        <v>1.2311</v>
      </c>
      <c r="E10" s="16" t="n">
        <v>0.0303</v>
      </c>
      <c r="F10" s="16" t="n">
        <v>0.9785</v>
      </c>
      <c r="G10" s="16" t="n">
        <v>0.7826</v>
      </c>
      <c r="H10" s="16" t="n">
        <v>12.8088</v>
      </c>
      <c r="I10" s="16" t="n">
        <v>0.7077</v>
      </c>
      <c r="J10" s="16" t="n">
        <v>17.9869</v>
      </c>
    </row>
    <row r="11">
      <c r="A11" s="9" t="inlineStr">
        <is>
          <t>Athena_2_men_in_front_of_house_meting003</t>
        </is>
      </c>
      <c r="B11" s="16" t="n">
        <v>7.0672</v>
      </c>
      <c r="C11" s="16" t="n">
        <v>0.1437</v>
      </c>
      <c r="D11" s="16" t="n">
        <v>1.0207</v>
      </c>
      <c r="E11" s="16" t="n">
        <v>0.0338</v>
      </c>
      <c r="F11" s="16" t="n">
        <v>0.68</v>
      </c>
      <c r="G11" s="16" t="n">
        <v>0.4892</v>
      </c>
      <c r="H11" s="16" t="n">
        <v>15.6543</v>
      </c>
      <c r="I11" s="16" t="n">
        <v>0.6664</v>
      </c>
      <c r="J11" s="16" t="n">
        <v>15.1694</v>
      </c>
    </row>
    <row r="12">
      <c r="A12" s="9" t="inlineStr">
        <is>
          <t>Athena_APC_4_fennek01_005</t>
        </is>
      </c>
      <c r="B12" s="16" t="n">
        <v>6.356</v>
      </c>
      <c r="C12" s="16" t="n">
        <v>0.0799</v>
      </c>
      <c r="D12" s="16" t="n">
        <v>1.0127</v>
      </c>
      <c r="E12" s="16" t="n">
        <v>0.0314</v>
      </c>
      <c r="F12" s="16" t="n">
        <v>0.4235</v>
      </c>
      <c r="G12" s="16" t="n">
        <v>0.142</v>
      </c>
      <c r="H12" s="16" t="n">
        <v>13.3431</v>
      </c>
      <c r="I12" s="16" t="n">
        <v>0.6945</v>
      </c>
      <c r="J12" s="16" t="n">
        <v>21.6535</v>
      </c>
    </row>
    <row r="13">
      <c r="A13" s="9" t="inlineStr">
        <is>
          <t>Athena_heather_IR_hei_vis_g</t>
        </is>
      </c>
      <c r="B13" s="16" t="n">
        <v>7.0462</v>
      </c>
      <c r="C13" s="16" t="n">
        <v>0.2308</v>
      </c>
      <c r="D13" s="16" t="n">
        <v>0.9939</v>
      </c>
      <c r="E13" s="16" t="n">
        <v>0.0254</v>
      </c>
      <c r="F13" s="16" t="n">
        <v>2.0804</v>
      </c>
      <c r="G13" s="16" t="n">
        <v>2.0804</v>
      </c>
      <c r="H13" s="16" t="n">
        <v>10.4021</v>
      </c>
      <c r="I13" s="16" t="n">
        <v>0.8565</v>
      </c>
      <c r="J13" s="16" t="n">
        <v>24.0539</v>
      </c>
    </row>
    <row r="14">
      <c r="A14" s="9" t="inlineStr">
        <is>
          <t>Athena_heather_hei_vis</t>
        </is>
      </c>
      <c r="B14" s="16" t="n">
        <v>7.1353</v>
      </c>
      <c r="C14" s="16" t="n">
        <v>0.144</v>
      </c>
      <c r="D14" s="16" t="n">
        <v>0.9944</v>
      </c>
      <c r="E14" s="16" t="n">
        <v>0.0362</v>
      </c>
      <c r="F14" s="16" t="n">
        <v>0.7135</v>
      </c>
      <c r="G14" s="16" t="n">
        <v>0.544</v>
      </c>
      <c r="H14" s="16" t="n">
        <v>16.4501</v>
      </c>
      <c r="I14" s="16" t="n">
        <v>0.6148</v>
      </c>
      <c r="J14" s="16" t="n">
        <v>15.4811</v>
      </c>
    </row>
    <row r="15">
      <c r="A15" s="9" t="inlineStr">
        <is>
          <t>Athena_helicopter_helib_011</t>
        </is>
      </c>
      <c r="B15" s="16" t="n">
        <v>5.5101</v>
      </c>
      <c r="C15" s="16" t="n">
        <v>0.0582</v>
      </c>
      <c r="D15" s="16" t="n">
        <v>1.1915</v>
      </c>
      <c r="E15" s="16" t="n">
        <v>0.0184</v>
      </c>
      <c r="F15" s="16" t="n">
        <v>0.9182</v>
      </c>
      <c r="G15" s="16" t="n">
        <v>0.4138</v>
      </c>
      <c r="H15" s="16" t="n">
        <v>7.913</v>
      </c>
      <c r="I15" s="16" t="n">
        <v>0.7645999999999999</v>
      </c>
      <c r="J15" s="16" t="n">
        <v>18.3341</v>
      </c>
    </row>
    <row r="16">
      <c r="A16" s="9" t="inlineStr">
        <is>
          <t>Athena_lake_lake</t>
        </is>
      </c>
      <c r="B16" s="16" t="n">
        <v>6.9289</v>
      </c>
      <c r="C16" s="16" t="n">
        <v>0.1294</v>
      </c>
      <c r="D16" s="16" t="n">
        <v>1.0027</v>
      </c>
      <c r="E16" s="16" t="n">
        <v>0.0313</v>
      </c>
      <c r="F16" s="16" t="n">
        <v>0.7833</v>
      </c>
      <c r="G16" s="16" t="n">
        <v>0.2797</v>
      </c>
      <c r="H16" s="16" t="n">
        <v>14.595</v>
      </c>
      <c r="I16" s="16" t="n">
        <v>0.6532</v>
      </c>
      <c r="J16" s="16" t="n">
        <v>16.3503</v>
      </c>
    </row>
    <row r="17">
      <c r="A17" s="9" t="inlineStr">
        <is>
          <t>Athena_man_in_doorway_maninhuis</t>
        </is>
      </c>
      <c r="B17" s="16" t="n">
        <v>7.4009</v>
      </c>
      <c r="C17" s="16" t="n">
        <v>0.1717</v>
      </c>
      <c r="D17" s="16" t="n">
        <v>1.0321</v>
      </c>
      <c r="E17" s="16" t="n">
        <v>0.0439</v>
      </c>
      <c r="F17" s="16" t="n">
        <v>0.7228</v>
      </c>
      <c r="G17" s="16" t="n">
        <v>0.2983</v>
      </c>
      <c r="H17" s="16" t="n">
        <v>18.9232</v>
      </c>
      <c r="I17" s="16" t="n">
        <v>0.615</v>
      </c>
      <c r="J17" s="16" t="n">
        <v>14.5655</v>
      </c>
    </row>
    <row r="18">
      <c r="A18" s="9" t="inlineStr">
        <is>
          <t>Athena_soldier_behind_smoke_1_meting012-1200</t>
        </is>
      </c>
      <c r="B18" s="16" t="n">
        <v>7.4075</v>
      </c>
      <c r="C18" s="16" t="n">
        <v>0.1754</v>
      </c>
      <c r="D18" s="16" t="n">
        <v>1.0896</v>
      </c>
      <c r="E18" s="16" t="n">
        <v>0.0393</v>
      </c>
      <c r="F18" s="16" t="n">
        <v>1.0198</v>
      </c>
      <c r="G18" s="16" t="n">
        <v>0.3148</v>
      </c>
      <c r="H18" s="16" t="n">
        <v>17.1852</v>
      </c>
      <c r="I18" s="16" t="n">
        <v>0.5835</v>
      </c>
      <c r="J18" s="16" t="n">
        <v>13.1802</v>
      </c>
    </row>
    <row r="19">
      <c r="A19" s="9" t="inlineStr">
        <is>
          <t>Athena_soldier_behind_smoke_2_meting012-1500</t>
        </is>
      </c>
      <c r="B19" s="16" t="n">
        <v>7.2242</v>
      </c>
      <c r="C19" s="16" t="n">
        <v>0.1572</v>
      </c>
      <c r="D19" s="16" t="n">
        <v>1.163</v>
      </c>
      <c r="E19" s="16" t="n">
        <v>0.0319</v>
      </c>
      <c r="F19" s="16" t="n">
        <v>1.0326</v>
      </c>
      <c r="G19" s="16" t="n">
        <v>0.4759</v>
      </c>
      <c r="H19" s="16" t="n">
        <v>15.2839</v>
      </c>
      <c r="I19" s="16" t="n">
        <v>0.6042999999999999</v>
      </c>
      <c r="J19" s="16" t="n">
        <v>11.1201</v>
      </c>
    </row>
    <row r="20">
      <c r="A20" s="9" t="inlineStr">
        <is>
          <t>Athena_soldier_behind_smoke_3_meting012-1700</t>
        </is>
      </c>
      <c r="B20" s="16" t="n">
        <v>7.3131</v>
      </c>
      <c r="C20" s="16" t="n">
        <v>0.1569</v>
      </c>
      <c r="D20" s="16" t="n">
        <v>1.0453</v>
      </c>
      <c r="E20" s="16" t="n">
        <v>0.0467</v>
      </c>
      <c r="F20" s="16" t="n">
        <v>1.02</v>
      </c>
      <c r="G20" s="16" t="n">
        <v>0.2179</v>
      </c>
      <c r="H20" s="16" t="n">
        <v>21.5253</v>
      </c>
      <c r="I20" s="16" t="n">
        <v>0.5846</v>
      </c>
      <c r="J20" s="16" t="n">
        <v>13.553</v>
      </c>
    </row>
    <row r="21">
      <c r="A21" s="9" t="inlineStr">
        <is>
          <t>Athena_soldier_in_trench_1_meting016</t>
        </is>
      </c>
      <c r="B21" s="16" t="n">
        <v>6.9904</v>
      </c>
      <c r="C21" s="16" t="n">
        <v>0.1321</v>
      </c>
      <c r="D21" s="16" t="n">
        <v>1.0194</v>
      </c>
      <c r="E21" s="16" t="n">
        <v>0.0366</v>
      </c>
      <c r="F21" s="16" t="n">
        <v>1.0234</v>
      </c>
      <c r="G21" s="16" t="n">
        <v>0.3795</v>
      </c>
      <c r="H21" s="16" t="n">
        <v>18.107</v>
      </c>
      <c r="I21" s="16" t="n">
        <v>0.6431</v>
      </c>
      <c r="J21" s="16" t="n">
        <v>16.1917</v>
      </c>
    </row>
    <row r="22">
      <c r="A22" s="9" t="inlineStr">
        <is>
          <t>Athena_soldier_in_trench_2_meting055</t>
        </is>
      </c>
      <c r="B22" s="16" t="n">
        <v>6.8685</v>
      </c>
      <c r="C22" s="16" t="n">
        <v>0.1211</v>
      </c>
      <c r="D22" s="16" t="n">
        <v>1.04</v>
      </c>
      <c r="E22" s="16" t="n">
        <v>0.0438</v>
      </c>
      <c r="F22" s="16" t="n">
        <v>1.0178</v>
      </c>
      <c r="G22" s="16" t="n">
        <v>0.1924</v>
      </c>
      <c r="H22" s="16" t="n">
        <v>20.8475</v>
      </c>
      <c r="I22" s="16" t="n">
        <v>0.6002999999999999</v>
      </c>
      <c r="J22" s="16" t="n">
        <v>18.4304</v>
      </c>
    </row>
    <row r="23">
      <c r="A23" s="9" t="inlineStr">
        <is>
          <t>Triclobs_Bosnia_R</t>
        </is>
      </c>
      <c r="B23" s="16" t="n">
        <v>6.9754</v>
      </c>
      <c r="C23" s="16" t="n">
        <v>0.2236</v>
      </c>
      <c r="D23" s="16" t="n">
        <v>1.1708</v>
      </c>
      <c r="E23" s="16" t="n">
        <v>0.0297</v>
      </c>
      <c r="F23" s="16" t="n">
        <v>0.8874</v>
      </c>
      <c r="G23" s="16" t="n">
        <v>1.3119</v>
      </c>
      <c r="H23" s="16" t="n">
        <v>18.8666</v>
      </c>
      <c r="I23" s="16" t="n">
        <v>0.6853</v>
      </c>
      <c r="J23" s="16" t="n">
        <v>15.0098</v>
      </c>
    </row>
    <row r="24">
      <c r="A24" s="9" t="inlineStr">
        <is>
          <t>Triclobs_jeep_in_smoke_R</t>
        </is>
      </c>
      <c r="B24" s="16" t="n">
        <v>7.3926</v>
      </c>
      <c r="C24" s="16" t="n">
        <v>0.1771</v>
      </c>
      <c r="D24" s="16" t="n">
        <v>1.0823</v>
      </c>
      <c r="E24" s="16" t="n">
        <v>0.0585</v>
      </c>
      <c r="F24" s="16" t="n">
        <v>1.251</v>
      </c>
      <c r="G24" s="16" t="n">
        <v>0.9398</v>
      </c>
      <c r="H24" s="16" t="n">
        <v>32.4941</v>
      </c>
      <c r="I24" s="16" t="n">
        <v>0.5682</v>
      </c>
      <c r="J24" s="16" t="n">
        <v>15.604</v>
      </c>
    </row>
    <row r="25">
      <c r="A25" s="8" t="inlineStr">
        <is>
          <t>PROMEDIO (20 escenas)</t>
        </is>
      </c>
      <c r="B25" s="17">
        <f>AVERAGE(B5:B24)</f>
        <v/>
      </c>
      <c r="C25" s="17">
        <f>AVERAGE(C5:C24)</f>
        <v/>
      </c>
      <c r="D25" s="17">
        <f>AVERAGE(D5:D24)</f>
        <v/>
      </c>
      <c r="E25" s="17">
        <f>AVERAGE(E5:E24)</f>
        <v/>
      </c>
      <c r="F25" s="17">
        <f>AVERAGE(F5:F24)</f>
        <v/>
      </c>
      <c r="G25" s="17">
        <f>AVERAGE(G5:G24)</f>
        <v/>
      </c>
      <c r="H25" s="17">
        <f>AVERAGE(H5:H24)</f>
        <v/>
      </c>
      <c r="I25" s="17">
        <f>AVERAGE(I5:I24)</f>
        <v/>
      </c>
      <c r="J25" s="17">
        <f>AVERAGE(J5:J24)</f>
        <v/>
      </c>
    </row>
    <row r="26">
      <c r="A26" s="8" t="inlineStr">
        <is>
          <t>DESVÍO ESTÁNDAR</t>
        </is>
      </c>
      <c r="B26" s="17">
        <f>STDEV(B5:B24)</f>
        <v/>
      </c>
      <c r="C26" s="17">
        <f>STDEV(C5:C24)</f>
        <v/>
      </c>
      <c r="D26" s="17">
        <f>STDEV(D5:D24)</f>
        <v/>
      </c>
      <c r="E26" s="17">
        <f>STDEV(E5:E24)</f>
        <v/>
      </c>
      <c r="F26" s="17">
        <f>STDEV(F5:F24)</f>
        <v/>
      </c>
      <c r="G26" s="17">
        <f>STDEV(G5:G24)</f>
        <v/>
      </c>
      <c r="H26" s="17">
        <f>STDEV(H5:H24)</f>
        <v/>
      </c>
      <c r="I26" s="17">
        <f>STDEV(I5:I24)</f>
        <v/>
      </c>
      <c r="J26" s="17">
        <f>STDEV(J5:J24)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3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4" customWidth="1" min="3" max="3"/>
    <col width="20" customWidth="1" min="4" max="4"/>
  </cols>
  <sheetData>
    <row r="1">
      <c r="A1" s="1" t="inlineStr">
        <is>
          <t>Test de Friedman por métrica (7 métodos × 20 imágenes, por rangos)</t>
        </is>
      </c>
    </row>
    <row r="2">
      <c r="A2" s="2" t="inlineStr">
        <is>
          <t>H0: no hay diferencias entre métodos. Significativa = p &lt; 0,05.</t>
        </is>
      </c>
    </row>
    <row r="4">
      <c r="A4" s="10" t="inlineStr">
        <is>
          <t>Métrica</t>
        </is>
      </c>
      <c r="B4" s="10" t="inlineStr">
        <is>
          <t>χ² de Friedman</t>
        </is>
      </c>
      <c r="C4" s="10" t="inlineStr">
        <is>
          <t>p-valor</t>
        </is>
      </c>
      <c r="D4" s="10" t="inlineStr">
        <is>
          <t>Significativa (α=0,05)</t>
        </is>
      </c>
    </row>
    <row r="5">
      <c r="A5" s="20" t="inlineStr">
        <is>
          <t>EN</t>
        </is>
      </c>
      <c r="B5" s="21" t="n">
        <v>81.38</v>
      </c>
      <c r="C5" s="22" t="n">
        <v>1.851250734915931e-15</v>
      </c>
      <c r="D5" s="15" t="inlineStr">
        <is>
          <t>Sí</t>
        </is>
      </c>
    </row>
    <row r="6">
      <c r="A6" s="20" t="inlineStr">
        <is>
          <t>SD</t>
        </is>
      </c>
      <c r="B6" s="21" t="n">
        <v>101.74</v>
      </c>
      <c r="C6" s="22" t="n">
        <v>1.088386607957448e-19</v>
      </c>
      <c r="D6" s="15" t="inlineStr">
        <is>
          <t>Sí</t>
        </is>
      </c>
    </row>
    <row r="7">
      <c r="A7" s="20" t="inlineStr">
        <is>
          <t>FE</t>
        </is>
      </c>
      <c r="B7" s="21" t="n">
        <v>81.38</v>
      </c>
      <c r="C7" s="22" t="n">
        <v>1.851250734915931e-15</v>
      </c>
      <c r="D7" s="15" t="inlineStr">
        <is>
          <t>Sí</t>
        </is>
      </c>
    </row>
    <row r="8">
      <c r="A8" s="20" t="inlineStr">
        <is>
          <t>MG</t>
        </is>
      </c>
      <c r="B8" s="21" t="n">
        <v>101.19</v>
      </c>
      <c r="C8" s="22" t="n">
        <v>1.414652483800934e-19</v>
      </c>
      <c r="D8" s="15" t="inlineStr">
        <is>
          <t>Sí</t>
        </is>
      </c>
    </row>
    <row r="9">
      <c r="A9" s="20" t="inlineStr">
        <is>
          <t>MI_vis</t>
        </is>
      </c>
      <c r="B9" s="21" t="n">
        <v>71.84999999999999</v>
      </c>
      <c r="C9" s="22" t="n">
        <v>1.706123971832938e-13</v>
      </c>
      <c r="D9" s="15" t="inlineStr">
        <is>
          <t>Sí</t>
        </is>
      </c>
    </row>
    <row r="10">
      <c r="A10" s="20" t="inlineStr">
        <is>
          <t>MI_ir</t>
        </is>
      </c>
      <c r="B10" s="21" t="n">
        <v>59.98</v>
      </c>
      <c r="C10" s="22" t="n">
        <v>4.546523434404776e-11</v>
      </c>
      <c r="D10" s="15" t="inlineStr">
        <is>
          <t>Sí</t>
        </is>
      </c>
    </row>
    <row r="11">
      <c r="A11" s="20" t="inlineStr">
        <is>
          <t>SF</t>
        </is>
      </c>
      <c r="B11" s="21" t="n">
        <v>96.31999999999999</v>
      </c>
      <c r="C11" s="22" t="n">
        <v>1.465042903035624e-18</v>
      </c>
      <c r="D11" s="15" t="inlineStr">
        <is>
          <t>Sí</t>
        </is>
      </c>
    </row>
    <row r="12">
      <c r="A12" s="20" t="inlineStr">
        <is>
          <t>SSIM</t>
        </is>
      </c>
      <c r="B12" s="21" t="n">
        <v>99.58</v>
      </c>
      <c r="C12" s="22" t="n">
        <v>3.072490463062902e-19</v>
      </c>
      <c r="D12" s="15" t="inlineStr">
        <is>
          <t>Sí</t>
        </is>
      </c>
    </row>
    <row r="13">
      <c r="A13" s="20" t="inlineStr">
        <is>
          <t>PSNR</t>
        </is>
      </c>
      <c r="B13" s="21" t="n">
        <v>107.32</v>
      </c>
      <c r="C13" s="22" t="n">
        <v>7.42059728052933e-21</v>
      </c>
      <c r="D13" s="15" t="inlineStr">
        <is>
          <t>Sí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9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9" customWidth="1" min="3" max="3"/>
    <col width="10" customWidth="1" min="4" max="4"/>
    <col width="12" customWidth="1" min="5" max="5"/>
    <col width="12" customWidth="1" min="6" max="6"/>
    <col width="11" customWidth="1" min="7" max="7"/>
    <col width="11" customWidth="1" min="8" max="8"/>
    <col width="9" customWidth="1" min="9" max="9"/>
    <col width="11" customWidth="1" min="10" max="10"/>
  </cols>
  <sheetData>
    <row r="1">
      <c r="A1" s="1" t="inlineStr">
        <is>
          <t>Wilcoxon pareado (20 imágenes) — métodos morfológicos vs. estado del arte</t>
        </is>
      </c>
    </row>
    <row r="2">
      <c r="A2" s="2" t="inlineStr">
        <is>
          <t>Corrección de Holm por métrica. Resultado por fórmula: ≈ si p_holm ≥ 0,05; si no, mejor/peor según (media método − media rival) × dirección (columna D; todas las métricas +1).</t>
        </is>
      </c>
    </row>
    <row r="4">
      <c r="A4" s="10" t="inlineStr">
        <is>
          <t>Método</t>
        </is>
      </c>
      <c r="B4" s="10" t="inlineStr">
        <is>
          <t>Rival</t>
        </is>
      </c>
      <c r="C4" s="10" t="inlineStr">
        <is>
          <t>Métrica</t>
        </is>
      </c>
      <c r="D4" s="10" t="inlineStr">
        <is>
          <t>Dirección</t>
        </is>
      </c>
      <c r="E4" s="10" t="inlineStr">
        <is>
          <t>Media método</t>
        </is>
      </c>
      <c r="F4" s="10" t="inlineStr">
        <is>
          <t>Media rival</t>
        </is>
      </c>
      <c r="G4" s="10" t="inlineStr">
        <is>
          <t>p</t>
        </is>
      </c>
      <c r="H4" s="10" t="inlineStr">
        <is>
          <t>p (Holm)</t>
        </is>
      </c>
      <c r="I4" s="10" t="inlineStr">
        <is>
          <t>Efecto r</t>
        </is>
      </c>
      <c r="J4" s="10" t="inlineStr">
        <is>
          <t>Resultado</t>
        </is>
      </c>
    </row>
    <row r="5">
      <c r="A5" s="8" t="inlineStr">
        <is>
          <t>Propuesta</t>
        </is>
      </c>
      <c r="B5" s="9" t="inlineStr">
        <is>
          <t>CVT</t>
        </is>
      </c>
      <c r="C5" s="20" t="inlineStr">
        <is>
          <t>EN</t>
        </is>
      </c>
      <c r="D5" s="11" t="n">
        <v>1</v>
      </c>
      <c r="E5" s="12" t="n">
        <v>6.9888</v>
      </c>
      <c r="F5" s="12" t="n">
        <v>6.6645</v>
      </c>
      <c r="G5" s="22" t="n">
        <v>3.814697265625e-06</v>
      </c>
      <c r="H5" s="22" t="n">
        <v>0</v>
      </c>
      <c r="I5" s="23" t="n">
        <v>0.99</v>
      </c>
      <c r="J5" s="15">
        <f>IF(H5&gt;=0.05,"≈",IF((E5-F5)*D5&gt;0,"mejor","peor"))</f>
        <v/>
      </c>
    </row>
    <row r="6">
      <c r="A6" s="8" t="inlineStr">
        <is>
          <t>Propuesta</t>
        </is>
      </c>
      <c r="B6" s="9" t="inlineStr">
        <is>
          <t>CVT</t>
        </is>
      </c>
      <c r="C6" s="20" t="inlineStr">
        <is>
          <t>FE</t>
        </is>
      </c>
      <c r="D6" s="11" t="n">
        <v>1</v>
      </c>
      <c r="E6" s="12" t="n">
        <v>1.1045</v>
      </c>
      <c r="F6" s="12" t="n">
        <v>1.0529</v>
      </c>
      <c r="G6" s="22" t="n">
        <v>3.814697265625e-06</v>
      </c>
      <c r="H6" s="22" t="n">
        <v>0</v>
      </c>
      <c r="I6" s="23" t="n">
        <v>0.99</v>
      </c>
      <c r="J6" s="15">
        <f>IF(H6&gt;=0.05,"≈",IF((E6-F6)*D6&gt;0,"mejor","peor"))</f>
        <v/>
      </c>
    </row>
    <row r="7">
      <c r="A7" s="8" t="inlineStr">
        <is>
          <t>Propuesta</t>
        </is>
      </c>
      <c r="B7" s="9" t="inlineStr">
        <is>
          <t>CVT</t>
        </is>
      </c>
      <c r="C7" s="20" t="inlineStr">
        <is>
          <t>MG</t>
        </is>
      </c>
      <c r="D7" s="11" t="n">
        <v>1</v>
      </c>
      <c r="E7" s="12" t="n">
        <v>0.0353</v>
      </c>
      <c r="F7" s="12" t="n">
        <v>0.0256</v>
      </c>
      <c r="G7" s="22" t="n">
        <v>1.9073486328125e-06</v>
      </c>
      <c r="H7" s="22" t="n">
        <v>0</v>
      </c>
      <c r="I7" s="23" t="n">
        <v>1</v>
      </c>
      <c r="J7" s="15">
        <f>IF(H7&gt;=0.05,"≈",IF((E7-F7)*D7&gt;0,"mejor","peor"))</f>
        <v/>
      </c>
    </row>
    <row r="8">
      <c r="A8" s="8" t="inlineStr">
        <is>
          <t>Propuesta</t>
        </is>
      </c>
      <c r="B8" s="9" t="inlineStr">
        <is>
          <t>CVT</t>
        </is>
      </c>
      <c r="C8" s="20" t="inlineStr">
        <is>
          <t>MI_ir</t>
        </is>
      </c>
      <c r="D8" s="11" t="n">
        <v>1</v>
      </c>
      <c r="E8" s="12" t="n">
        <v>0.6708</v>
      </c>
      <c r="F8" s="12" t="n">
        <v>0.8843</v>
      </c>
      <c r="G8" s="22" t="n">
        <v>2.6702880859375e-05</v>
      </c>
      <c r="H8" s="22" t="n">
        <v>0.0002</v>
      </c>
      <c r="I8" s="23" t="n">
        <v>-0.9399999999999999</v>
      </c>
      <c r="J8" s="15">
        <f>IF(H8&gt;=0.05,"≈",IF((E8-F8)*D8&gt;0,"mejor","peor"))</f>
        <v/>
      </c>
    </row>
    <row r="9">
      <c r="A9" s="8" t="inlineStr">
        <is>
          <t>Propuesta</t>
        </is>
      </c>
      <c r="B9" s="9" t="inlineStr">
        <is>
          <t>CVT</t>
        </is>
      </c>
      <c r="C9" s="20" t="inlineStr">
        <is>
          <t>MI_vis</t>
        </is>
      </c>
      <c r="D9" s="11" t="n">
        <v>1</v>
      </c>
      <c r="E9" s="12" t="n">
        <v>0.9617</v>
      </c>
      <c r="F9" s="12" t="n">
        <v>1.3038</v>
      </c>
      <c r="G9" s="22" t="n">
        <v>5.7220458984375e-06</v>
      </c>
      <c r="H9" s="22" t="n">
        <v>0</v>
      </c>
      <c r="I9" s="23" t="n">
        <v>-0.98</v>
      </c>
      <c r="J9" s="15">
        <f>IF(H9&gt;=0.05,"≈",IF((E9-F9)*D9&gt;0,"mejor","peor"))</f>
        <v/>
      </c>
    </row>
    <row r="10">
      <c r="A10" s="8" t="inlineStr">
        <is>
          <t>Propuesta</t>
        </is>
      </c>
      <c r="B10" s="9" t="inlineStr">
        <is>
          <t>CVT</t>
        </is>
      </c>
      <c r="C10" s="20" t="inlineStr">
        <is>
          <t>PSNR</t>
        </is>
      </c>
      <c r="D10" s="11" t="n">
        <v>1</v>
      </c>
      <c r="E10" s="12" t="n">
        <v>17.2546</v>
      </c>
      <c r="F10" s="12" t="n">
        <v>22.8375</v>
      </c>
      <c r="G10" s="22" t="n">
        <v>1.9073486328125e-06</v>
      </c>
      <c r="H10" s="22" t="n">
        <v>0</v>
      </c>
      <c r="I10" s="23" t="n">
        <v>-1</v>
      </c>
      <c r="J10" s="15">
        <f>IF(H10&gt;=0.05,"≈",IF((E10-F10)*D10&gt;0,"mejor","peor"))</f>
        <v/>
      </c>
    </row>
    <row r="11">
      <c r="A11" s="8" t="inlineStr">
        <is>
          <t>Propuesta</t>
        </is>
      </c>
      <c r="B11" s="9" t="inlineStr">
        <is>
          <t>CVT</t>
        </is>
      </c>
      <c r="C11" s="20" t="inlineStr">
        <is>
          <t>SD</t>
        </is>
      </c>
      <c r="D11" s="11" t="n">
        <v>1</v>
      </c>
      <c r="E11" s="12" t="n">
        <v>0.1477</v>
      </c>
      <c r="F11" s="12" t="n">
        <v>0.1167</v>
      </c>
      <c r="G11" s="22" t="n">
        <v>1.9073486328125e-06</v>
      </c>
      <c r="H11" s="22" t="n">
        <v>0</v>
      </c>
      <c r="I11" s="23" t="n">
        <v>1</v>
      </c>
      <c r="J11" s="15">
        <f>IF(H11&gt;=0.05,"≈",IF((E11-F11)*D11&gt;0,"mejor","peor"))</f>
        <v/>
      </c>
    </row>
    <row r="12">
      <c r="A12" s="8" t="inlineStr">
        <is>
          <t>Propuesta</t>
        </is>
      </c>
      <c r="B12" s="9" t="inlineStr">
        <is>
          <t>CVT</t>
        </is>
      </c>
      <c r="C12" s="20" t="inlineStr">
        <is>
          <t>SF</t>
        </is>
      </c>
      <c r="D12" s="11" t="n">
        <v>1</v>
      </c>
      <c r="E12" s="12" t="n">
        <v>17.3435</v>
      </c>
      <c r="F12" s="12" t="n">
        <v>13.151</v>
      </c>
      <c r="G12" s="22" t="n">
        <v>1.9073486328125e-06</v>
      </c>
      <c r="H12" s="22" t="n">
        <v>0</v>
      </c>
      <c r="I12" s="23" t="n">
        <v>1</v>
      </c>
      <c r="J12" s="15">
        <f>IF(H12&gt;=0.05,"≈",IF((E12-F12)*D12&gt;0,"mejor","peor"))</f>
        <v/>
      </c>
    </row>
    <row r="13">
      <c r="A13" s="8" t="inlineStr">
        <is>
          <t>Propuesta</t>
        </is>
      </c>
      <c r="B13" s="9" t="inlineStr">
        <is>
          <t>CVT</t>
        </is>
      </c>
      <c r="C13" s="20" t="inlineStr">
        <is>
          <t>SSIM</t>
        </is>
      </c>
      <c r="D13" s="11" t="n">
        <v>1</v>
      </c>
      <c r="E13" s="12" t="n">
        <v>0.6677</v>
      </c>
      <c r="F13" s="12" t="n">
        <v>0.7305</v>
      </c>
      <c r="G13" s="22" t="n">
        <v>1.9073486328125e-06</v>
      </c>
      <c r="H13" s="22" t="n">
        <v>0</v>
      </c>
      <c r="I13" s="23" t="n">
        <v>-1</v>
      </c>
      <c r="J13" s="15">
        <f>IF(H13&gt;=0.05,"≈",IF((E13-F13)*D13&gt;0,"mejor","peor"))</f>
        <v/>
      </c>
    </row>
    <row r="14">
      <c r="A14" s="8" t="inlineStr">
        <is>
          <t>Propuesta</t>
        </is>
      </c>
      <c r="B14" s="9" t="inlineStr">
        <is>
          <t>DTCWT</t>
        </is>
      </c>
      <c r="C14" s="20" t="inlineStr">
        <is>
          <t>EN</t>
        </is>
      </c>
      <c r="D14" s="11" t="n">
        <v>1</v>
      </c>
      <c r="E14" s="12" t="n">
        <v>6.9888</v>
      </c>
      <c r="F14" s="12" t="n">
        <v>6.706</v>
      </c>
      <c r="G14" s="22" t="n">
        <v>3.814697265625e-06</v>
      </c>
      <c r="H14" s="22" t="n">
        <v>0</v>
      </c>
      <c r="I14" s="23" t="n">
        <v>0.99</v>
      </c>
      <c r="J14" s="15">
        <f>IF(H14&gt;=0.05,"≈",IF((E14-F14)*D14&gt;0,"mejor","peor"))</f>
        <v/>
      </c>
    </row>
    <row r="15">
      <c r="A15" s="8" t="inlineStr">
        <is>
          <t>Propuesta</t>
        </is>
      </c>
      <c r="B15" s="9" t="inlineStr">
        <is>
          <t>DTCWT</t>
        </is>
      </c>
      <c r="C15" s="20" t="inlineStr">
        <is>
          <t>FE</t>
        </is>
      </c>
      <c r="D15" s="11" t="n">
        <v>1</v>
      </c>
      <c r="E15" s="12" t="n">
        <v>1.1045</v>
      </c>
      <c r="F15" s="12" t="n">
        <v>1.0596</v>
      </c>
      <c r="G15" s="22" t="n">
        <v>3.814697265625e-06</v>
      </c>
      <c r="H15" s="22" t="n">
        <v>0</v>
      </c>
      <c r="I15" s="23" t="n">
        <v>0.99</v>
      </c>
      <c r="J15" s="15">
        <f>IF(H15&gt;=0.05,"≈",IF((E15-F15)*D15&gt;0,"mejor","peor"))</f>
        <v/>
      </c>
    </row>
    <row r="16">
      <c r="A16" s="8" t="inlineStr">
        <is>
          <t>Propuesta</t>
        </is>
      </c>
      <c r="B16" s="9" t="inlineStr">
        <is>
          <t>DTCWT</t>
        </is>
      </c>
      <c r="C16" s="20" t="inlineStr">
        <is>
          <t>MG</t>
        </is>
      </c>
      <c r="D16" s="11" t="n">
        <v>1</v>
      </c>
      <c r="E16" s="12" t="n">
        <v>0.0353</v>
      </c>
      <c r="F16" s="12" t="n">
        <v>0.0251</v>
      </c>
      <c r="G16" s="22" t="n">
        <v>1.9073486328125e-06</v>
      </c>
      <c r="H16" s="22" t="n">
        <v>0</v>
      </c>
      <c r="I16" s="23" t="n">
        <v>1</v>
      </c>
      <c r="J16" s="15">
        <f>IF(H16&gt;=0.05,"≈",IF((E16-F16)*D16&gt;0,"mejor","peor"))</f>
        <v/>
      </c>
    </row>
    <row r="17">
      <c r="A17" s="8" t="inlineStr">
        <is>
          <t>Propuesta</t>
        </is>
      </c>
      <c r="B17" s="9" t="inlineStr">
        <is>
          <t>DTCWT</t>
        </is>
      </c>
      <c r="C17" s="20" t="inlineStr">
        <is>
          <t>MI_ir</t>
        </is>
      </c>
      <c r="D17" s="11" t="n">
        <v>1</v>
      </c>
      <c r="E17" s="12" t="n">
        <v>0.6708</v>
      </c>
      <c r="F17" s="12" t="n">
        <v>0.8908</v>
      </c>
      <c r="G17" s="22" t="n">
        <v>1.33514404296875e-05</v>
      </c>
      <c r="H17" s="22" t="n">
        <v>0.0001</v>
      </c>
      <c r="I17" s="23" t="n">
        <v>-0.96</v>
      </c>
      <c r="J17" s="15">
        <f>IF(H17&gt;=0.05,"≈",IF((E17-F17)*D17&gt;0,"mejor","peor"))</f>
        <v/>
      </c>
    </row>
    <row r="18">
      <c r="A18" s="8" t="inlineStr">
        <is>
          <t>Propuesta</t>
        </is>
      </c>
      <c r="B18" s="9" t="inlineStr">
        <is>
          <t>DTCWT</t>
        </is>
      </c>
      <c r="C18" s="20" t="inlineStr">
        <is>
          <t>MI_vis</t>
        </is>
      </c>
      <c r="D18" s="11" t="n">
        <v>1</v>
      </c>
      <c r="E18" s="12" t="n">
        <v>0.9617</v>
      </c>
      <c r="F18" s="12" t="n">
        <v>1.2887</v>
      </c>
      <c r="G18" s="22" t="n">
        <v>3.814697265625e-06</v>
      </c>
      <c r="H18" s="22" t="n">
        <v>0</v>
      </c>
      <c r="I18" s="23" t="n">
        <v>-0.99</v>
      </c>
      <c r="J18" s="15">
        <f>IF(H18&gt;=0.05,"≈",IF((E18-F18)*D18&gt;0,"mejor","peor"))</f>
        <v/>
      </c>
    </row>
    <row r="19">
      <c r="A19" s="8" t="inlineStr">
        <is>
          <t>Propuesta</t>
        </is>
      </c>
      <c r="B19" s="9" t="inlineStr">
        <is>
          <t>DTCWT</t>
        </is>
      </c>
      <c r="C19" s="20" t="inlineStr">
        <is>
          <t>PSNR</t>
        </is>
      </c>
      <c r="D19" s="11" t="n">
        <v>1</v>
      </c>
      <c r="E19" s="12" t="n">
        <v>17.2546</v>
      </c>
      <c r="F19" s="12" t="n">
        <v>22.7857</v>
      </c>
      <c r="G19" s="22" t="n">
        <v>1.9073486328125e-06</v>
      </c>
      <c r="H19" s="22" t="n">
        <v>0</v>
      </c>
      <c r="I19" s="23" t="n">
        <v>-1</v>
      </c>
      <c r="J19" s="15">
        <f>IF(H19&gt;=0.05,"≈",IF((E19-F19)*D19&gt;0,"mejor","peor"))</f>
        <v/>
      </c>
    </row>
    <row r="20">
      <c r="A20" s="8" t="inlineStr">
        <is>
          <t>Propuesta</t>
        </is>
      </c>
      <c r="B20" s="9" t="inlineStr">
        <is>
          <t>DTCWT</t>
        </is>
      </c>
      <c r="C20" s="20" t="inlineStr">
        <is>
          <t>SD</t>
        </is>
      </c>
      <c r="D20" s="11" t="n">
        <v>1</v>
      </c>
      <c r="E20" s="12" t="n">
        <v>0.1477</v>
      </c>
      <c r="F20" s="12" t="n">
        <v>0.1205</v>
      </c>
      <c r="G20" s="22" t="n">
        <v>1.9073486328125e-06</v>
      </c>
      <c r="H20" s="22" t="n">
        <v>0</v>
      </c>
      <c r="I20" s="23" t="n">
        <v>1</v>
      </c>
      <c r="J20" s="15">
        <f>IF(H20&gt;=0.05,"≈",IF((E20-F20)*D20&gt;0,"mejor","peor"))</f>
        <v/>
      </c>
    </row>
    <row r="21">
      <c r="A21" s="8" t="inlineStr">
        <is>
          <t>Propuesta</t>
        </is>
      </c>
      <c r="B21" s="9" t="inlineStr">
        <is>
          <t>DTCWT</t>
        </is>
      </c>
      <c r="C21" s="20" t="inlineStr">
        <is>
          <t>SF</t>
        </is>
      </c>
      <c r="D21" s="11" t="n">
        <v>1</v>
      </c>
      <c r="E21" s="12" t="n">
        <v>17.3435</v>
      </c>
      <c r="F21" s="12" t="n">
        <v>13.0266</v>
      </c>
      <c r="G21" s="22" t="n">
        <v>1.9073486328125e-06</v>
      </c>
      <c r="H21" s="22" t="n">
        <v>0</v>
      </c>
      <c r="I21" s="23" t="n">
        <v>1</v>
      </c>
      <c r="J21" s="15">
        <f>IF(H21&gt;=0.05,"≈",IF((E21-F21)*D21&gt;0,"mejor","peor"))</f>
        <v/>
      </c>
    </row>
    <row r="22">
      <c r="A22" s="8" t="inlineStr">
        <is>
          <t>Propuesta</t>
        </is>
      </c>
      <c r="B22" s="9" t="inlineStr">
        <is>
          <t>DTCWT</t>
        </is>
      </c>
      <c r="C22" s="20" t="inlineStr">
        <is>
          <t>SSIM</t>
        </is>
      </c>
      <c r="D22" s="11" t="n">
        <v>1</v>
      </c>
      <c r="E22" s="12" t="n">
        <v>0.6677</v>
      </c>
      <c r="F22" s="12" t="n">
        <v>0.7386</v>
      </c>
      <c r="G22" s="22" t="n">
        <v>1.9073486328125e-06</v>
      </c>
      <c r="H22" s="22" t="n">
        <v>0</v>
      </c>
      <c r="I22" s="23" t="n">
        <v>-1</v>
      </c>
      <c r="J22" s="15">
        <f>IF(H22&gt;=0.05,"≈",IF((E22-F22)*D22&gt;0,"mejor","peor"))</f>
        <v/>
      </c>
    </row>
    <row r="23">
      <c r="A23" s="8" t="inlineStr">
        <is>
          <t>Propuesta</t>
        </is>
      </c>
      <c r="B23" s="9" t="inlineStr">
        <is>
          <t>DWT</t>
        </is>
      </c>
      <c r="C23" s="20" t="inlineStr">
        <is>
          <t>EN</t>
        </is>
      </c>
      <c r="D23" s="11" t="n">
        <v>1</v>
      </c>
      <c r="E23" s="12" t="n">
        <v>6.9888</v>
      </c>
      <c r="F23" s="12" t="n">
        <v>6.7002</v>
      </c>
      <c r="G23" s="22" t="n">
        <v>3.814697265625e-06</v>
      </c>
      <c r="H23" s="22" t="n">
        <v>0</v>
      </c>
      <c r="I23" s="23" t="n">
        <v>0.99</v>
      </c>
      <c r="J23" s="15">
        <f>IF(H23&gt;=0.05,"≈",IF((E23-F23)*D23&gt;0,"mejor","peor"))</f>
        <v/>
      </c>
    </row>
    <row r="24">
      <c r="A24" s="8" t="inlineStr">
        <is>
          <t>Propuesta</t>
        </is>
      </c>
      <c r="B24" s="9" t="inlineStr">
        <is>
          <t>DWT</t>
        </is>
      </c>
      <c r="C24" s="20" t="inlineStr">
        <is>
          <t>FE</t>
        </is>
      </c>
      <c r="D24" s="11" t="n">
        <v>1</v>
      </c>
      <c r="E24" s="12" t="n">
        <v>1.1045</v>
      </c>
      <c r="F24" s="12" t="n">
        <v>1.0586</v>
      </c>
      <c r="G24" s="22" t="n">
        <v>3.814697265625e-06</v>
      </c>
      <c r="H24" s="22" t="n">
        <v>0</v>
      </c>
      <c r="I24" s="23" t="n">
        <v>0.99</v>
      </c>
      <c r="J24" s="15">
        <f>IF(H24&gt;=0.05,"≈",IF((E24-F24)*D24&gt;0,"mejor","peor"))</f>
        <v/>
      </c>
    </row>
    <row r="25">
      <c r="A25" s="8" t="inlineStr">
        <is>
          <t>Propuesta</t>
        </is>
      </c>
      <c r="B25" s="9" t="inlineStr">
        <is>
          <t>DWT</t>
        </is>
      </c>
      <c r="C25" s="20" t="inlineStr">
        <is>
          <t>MG</t>
        </is>
      </c>
      <c r="D25" s="11" t="n">
        <v>1</v>
      </c>
      <c r="E25" s="12" t="n">
        <v>0.0353</v>
      </c>
      <c r="F25" s="12" t="n">
        <v>0.027</v>
      </c>
      <c r="G25" s="22" t="n">
        <v>1.9073486328125e-06</v>
      </c>
      <c r="H25" s="22" t="n">
        <v>0</v>
      </c>
      <c r="I25" s="23" t="n">
        <v>1</v>
      </c>
      <c r="J25" s="15">
        <f>IF(H25&gt;=0.05,"≈",IF((E25-F25)*D25&gt;0,"mejor","peor"))</f>
        <v/>
      </c>
    </row>
    <row r="26">
      <c r="A26" s="8" t="inlineStr">
        <is>
          <t>Propuesta</t>
        </is>
      </c>
      <c r="B26" s="9" t="inlineStr">
        <is>
          <t>DWT</t>
        </is>
      </c>
      <c r="C26" s="20" t="inlineStr">
        <is>
          <t>MI_ir</t>
        </is>
      </c>
      <c r="D26" s="11" t="n">
        <v>1</v>
      </c>
      <c r="E26" s="12" t="n">
        <v>0.6708</v>
      </c>
      <c r="F26" s="12" t="n">
        <v>0.8809</v>
      </c>
      <c r="G26" s="22" t="n">
        <v>0.0001678466796875</v>
      </c>
      <c r="H26" s="22" t="n">
        <v>0.0005</v>
      </c>
      <c r="I26" s="23" t="n">
        <v>-0.88</v>
      </c>
      <c r="J26" s="15">
        <f>IF(H26&gt;=0.05,"≈",IF((E26-F26)*D26&gt;0,"mejor","peor"))</f>
        <v/>
      </c>
    </row>
    <row r="27">
      <c r="A27" s="8" t="inlineStr">
        <is>
          <t>Propuesta</t>
        </is>
      </c>
      <c r="B27" s="9" t="inlineStr">
        <is>
          <t>DWT</t>
        </is>
      </c>
      <c r="C27" s="20" t="inlineStr">
        <is>
          <t>MI_vis</t>
        </is>
      </c>
      <c r="D27" s="11" t="n">
        <v>1</v>
      </c>
      <c r="E27" s="12" t="n">
        <v>0.9617</v>
      </c>
      <c r="F27" s="12" t="n">
        <v>1.2846</v>
      </c>
      <c r="G27" s="22" t="n">
        <v>5.7220458984375e-06</v>
      </c>
      <c r="H27" s="22" t="n">
        <v>0</v>
      </c>
      <c r="I27" s="23" t="n">
        <v>-0.98</v>
      </c>
      <c r="J27" s="15">
        <f>IF(H27&gt;=0.05,"≈",IF((E27-F27)*D27&gt;0,"mejor","peor"))</f>
        <v/>
      </c>
    </row>
    <row r="28">
      <c r="A28" s="8" t="inlineStr">
        <is>
          <t>Propuesta</t>
        </is>
      </c>
      <c r="B28" s="9" t="inlineStr">
        <is>
          <t>DWT</t>
        </is>
      </c>
      <c r="C28" s="20" t="inlineStr">
        <is>
          <t>PSNR</t>
        </is>
      </c>
      <c r="D28" s="11" t="n">
        <v>1</v>
      </c>
      <c r="E28" s="12" t="n">
        <v>17.2546</v>
      </c>
      <c r="F28" s="12" t="n">
        <v>22.7767</v>
      </c>
      <c r="G28" s="22" t="n">
        <v>1.9073486328125e-06</v>
      </c>
      <c r="H28" s="22" t="n">
        <v>0</v>
      </c>
      <c r="I28" s="23" t="n">
        <v>-1</v>
      </c>
      <c r="J28" s="15">
        <f>IF(H28&gt;=0.05,"≈",IF((E28-F28)*D28&gt;0,"mejor","peor"))</f>
        <v/>
      </c>
    </row>
    <row r="29">
      <c r="A29" s="8" t="inlineStr">
        <is>
          <t>Propuesta</t>
        </is>
      </c>
      <c r="B29" s="9" t="inlineStr">
        <is>
          <t>DWT</t>
        </is>
      </c>
      <c r="C29" s="20" t="inlineStr">
        <is>
          <t>SD</t>
        </is>
      </c>
      <c r="D29" s="11" t="n">
        <v>1</v>
      </c>
      <c r="E29" s="12" t="n">
        <v>0.1477</v>
      </c>
      <c r="F29" s="12" t="n">
        <v>0.1199</v>
      </c>
      <c r="G29" s="22" t="n">
        <v>1.9073486328125e-06</v>
      </c>
      <c r="H29" s="22" t="n">
        <v>0</v>
      </c>
      <c r="I29" s="23" t="n">
        <v>1</v>
      </c>
      <c r="J29" s="15">
        <f>IF(H29&gt;=0.05,"≈",IF((E29-F29)*D29&gt;0,"mejor","peor"))</f>
        <v/>
      </c>
    </row>
    <row r="30">
      <c r="A30" s="8" t="inlineStr">
        <is>
          <t>Propuesta</t>
        </is>
      </c>
      <c r="B30" s="9" t="inlineStr">
        <is>
          <t>DWT</t>
        </is>
      </c>
      <c r="C30" s="20" t="inlineStr">
        <is>
          <t>SF</t>
        </is>
      </c>
      <c r="D30" s="11" t="n">
        <v>1</v>
      </c>
      <c r="E30" s="12" t="n">
        <v>17.3435</v>
      </c>
      <c r="F30" s="12" t="n">
        <v>13.9341</v>
      </c>
      <c r="G30" s="22" t="n">
        <v>1.9073486328125e-06</v>
      </c>
      <c r="H30" s="22" t="n">
        <v>0</v>
      </c>
      <c r="I30" s="23" t="n">
        <v>1</v>
      </c>
      <c r="J30" s="15">
        <f>IF(H30&gt;=0.05,"≈",IF((E30-F30)*D30&gt;0,"mejor","peor"))</f>
        <v/>
      </c>
    </row>
    <row r="31">
      <c r="A31" s="8" t="inlineStr">
        <is>
          <t>Propuesta</t>
        </is>
      </c>
      <c r="B31" s="9" t="inlineStr">
        <is>
          <t>DWT</t>
        </is>
      </c>
      <c r="C31" s="20" t="inlineStr">
        <is>
          <t>SSIM</t>
        </is>
      </c>
      <c r="D31" s="11" t="n">
        <v>1</v>
      </c>
      <c r="E31" s="12" t="n">
        <v>0.6677</v>
      </c>
      <c r="F31" s="12" t="n">
        <v>0.7163</v>
      </c>
      <c r="G31" s="22" t="n">
        <v>1.9073486328125e-06</v>
      </c>
      <c r="H31" s="22" t="n">
        <v>0</v>
      </c>
      <c r="I31" s="23" t="n">
        <v>-1</v>
      </c>
      <c r="J31" s="15">
        <f>IF(H31&gt;=0.05,"≈",IF((E31-F31)*D31&gt;0,"mejor","peor"))</f>
        <v/>
      </c>
    </row>
    <row r="32">
      <c r="A32" s="8" t="inlineStr">
        <is>
          <t>Propuesta</t>
        </is>
      </c>
      <c r="B32" s="9" t="inlineStr">
        <is>
          <t>LP</t>
        </is>
      </c>
      <c r="C32" s="20" t="inlineStr">
        <is>
          <t>EN</t>
        </is>
      </c>
      <c r="D32" s="11" t="n">
        <v>1</v>
      </c>
      <c r="E32" s="12" t="n">
        <v>6.9888</v>
      </c>
      <c r="F32" s="12" t="n">
        <v>6.835</v>
      </c>
      <c r="G32" s="22" t="n">
        <v>0.0072956085205078</v>
      </c>
      <c r="H32" s="22" t="n">
        <v>0.0146</v>
      </c>
      <c r="I32" s="23" t="n">
        <v>0.67</v>
      </c>
      <c r="J32" s="15">
        <f>IF(H32&gt;=0.05,"≈",IF((E32-F32)*D32&gt;0,"mejor","peor"))</f>
        <v/>
      </c>
    </row>
    <row r="33">
      <c r="A33" s="8" t="inlineStr">
        <is>
          <t>Propuesta</t>
        </is>
      </c>
      <c r="B33" s="9" t="inlineStr">
        <is>
          <t>LP</t>
        </is>
      </c>
      <c r="C33" s="20" t="inlineStr">
        <is>
          <t>FE</t>
        </is>
      </c>
      <c r="D33" s="11" t="n">
        <v>1</v>
      </c>
      <c r="E33" s="12" t="n">
        <v>1.1045</v>
      </c>
      <c r="F33" s="12" t="n">
        <v>1.0792</v>
      </c>
      <c r="G33" s="22" t="n">
        <v>0.0072956085205078</v>
      </c>
      <c r="H33" s="22" t="n">
        <v>0.0146</v>
      </c>
      <c r="I33" s="23" t="n">
        <v>0.67</v>
      </c>
      <c r="J33" s="15">
        <f>IF(H33&gt;=0.05,"≈",IF((E33-F33)*D33&gt;0,"mejor","peor"))</f>
        <v/>
      </c>
    </row>
    <row r="34">
      <c r="A34" s="8" t="inlineStr">
        <is>
          <t>Propuesta</t>
        </is>
      </c>
      <c r="B34" s="9" t="inlineStr">
        <is>
          <t>LP</t>
        </is>
      </c>
      <c r="C34" s="20" t="inlineStr">
        <is>
          <t>MG</t>
        </is>
      </c>
      <c r="D34" s="11" t="n">
        <v>1</v>
      </c>
      <c r="E34" s="12" t="n">
        <v>0.0353</v>
      </c>
      <c r="F34" s="12" t="n">
        <v>0.0248</v>
      </c>
      <c r="G34" s="22" t="n">
        <v>1.9073486328125e-06</v>
      </c>
      <c r="H34" s="22" t="n">
        <v>0</v>
      </c>
      <c r="I34" s="23" t="n">
        <v>1</v>
      </c>
      <c r="J34" s="15">
        <f>IF(H34&gt;=0.05,"≈",IF((E34-F34)*D34&gt;0,"mejor","peor"))</f>
        <v/>
      </c>
    </row>
    <row r="35">
      <c r="A35" s="8" t="inlineStr">
        <is>
          <t>Propuesta</t>
        </is>
      </c>
      <c r="B35" s="9" t="inlineStr">
        <is>
          <t>LP</t>
        </is>
      </c>
      <c r="C35" s="20" t="inlineStr">
        <is>
          <t>MI_ir</t>
        </is>
      </c>
      <c r="D35" s="11" t="n">
        <v>1</v>
      </c>
      <c r="E35" s="12" t="n">
        <v>0.6708</v>
      </c>
      <c r="F35" s="12" t="n">
        <v>1.0717</v>
      </c>
      <c r="G35" s="22" t="n">
        <v>0.0003223419189453</v>
      </c>
      <c r="H35" s="22" t="n">
        <v>0.0005999999999999999</v>
      </c>
      <c r="I35" s="23" t="n">
        <v>-0.85</v>
      </c>
      <c r="J35" s="15">
        <f>IF(H35&gt;=0.05,"≈",IF((E35-F35)*D35&gt;0,"mejor","peor"))</f>
        <v/>
      </c>
    </row>
    <row r="36">
      <c r="A36" s="8" t="inlineStr">
        <is>
          <t>Propuesta</t>
        </is>
      </c>
      <c r="B36" s="9" t="inlineStr">
        <is>
          <t>LP</t>
        </is>
      </c>
      <c r="C36" s="20" t="inlineStr">
        <is>
          <t>MI_vis</t>
        </is>
      </c>
      <c r="D36" s="11" t="n">
        <v>1</v>
      </c>
      <c r="E36" s="12" t="n">
        <v>0.9617</v>
      </c>
      <c r="F36" s="12" t="n">
        <v>2.1183</v>
      </c>
      <c r="G36" s="22" t="n">
        <v>2.6702880859375e-05</v>
      </c>
      <c r="H36" s="22" t="n">
        <v>0.0001</v>
      </c>
      <c r="I36" s="23" t="n">
        <v>-0.9399999999999999</v>
      </c>
      <c r="J36" s="15">
        <f>IF(H36&gt;=0.05,"≈",IF((E36-F36)*D36&gt;0,"mejor","peor"))</f>
        <v/>
      </c>
    </row>
    <row r="37">
      <c r="A37" s="8" t="inlineStr">
        <is>
          <t>Propuesta</t>
        </is>
      </c>
      <c r="B37" s="9" t="inlineStr">
        <is>
          <t>LP</t>
        </is>
      </c>
      <c r="C37" s="20" t="inlineStr">
        <is>
          <t>PSNR</t>
        </is>
      </c>
      <c r="D37" s="11" t="n">
        <v>1</v>
      </c>
      <c r="E37" s="12" t="n">
        <v>17.2546</v>
      </c>
      <c r="F37" s="12" t="n">
        <v>20.2687</v>
      </c>
      <c r="G37" s="22" t="n">
        <v>0.0008506774902343</v>
      </c>
      <c r="H37" s="22" t="n">
        <v>0.0014</v>
      </c>
      <c r="I37" s="23" t="n">
        <v>0.8</v>
      </c>
      <c r="J37" s="15">
        <f>IF(H37&gt;=0.05,"≈",IF((E37-F37)*D37&gt;0,"mejor","peor"))</f>
        <v/>
      </c>
    </row>
    <row r="38">
      <c r="A38" s="8" t="inlineStr">
        <is>
          <t>Propuesta</t>
        </is>
      </c>
      <c r="B38" s="9" t="inlineStr">
        <is>
          <t>LP</t>
        </is>
      </c>
      <c r="C38" s="20" t="inlineStr">
        <is>
          <t>SD</t>
        </is>
      </c>
      <c r="D38" s="11" t="n">
        <v>1</v>
      </c>
      <c r="E38" s="12" t="n">
        <v>0.1477</v>
      </c>
      <c r="F38" s="12" t="n">
        <v>0.1548</v>
      </c>
      <c r="G38" s="22" t="n">
        <v>0.4980087280273437</v>
      </c>
      <c r="H38" s="22" t="n">
        <v>0.498</v>
      </c>
      <c r="I38" s="23" t="n">
        <v>-0.18</v>
      </c>
      <c r="J38" s="15">
        <f>IF(H38&gt;=0.05,"≈",IF((E38-F38)*D38&gt;0,"mejor","peor"))</f>
        <v/>
      </c>
    </row>
    <row r="39">
      <c r="A39" s="8" t="inlineStr">
        <is>
          <t>Propuesta</t>
        </is>
      </c>
      <c r="B39" s="9" t="inlineStr">
        <is>
          <t>LP</t>
        </is>
      </c>
      <c r="C39" s="20" t="inlineStr">
        <is>
          <t>SF</t>
        </is>
      </c>
      <c r="D39" s="11" t="n">
        <v>1</v>
      </c>
      <c r="E39" s="12" t="n">
        <v>17.3435</v>
      </c>
      <c r="F39" s="12" t="n">
        <v>13.04</v>
      </c>
      <c r="G39" s="22" t="n">
        <v>1.9073486328125e-06</v>
      </c>
      <c r="H39" s="22" t="n">
        <v>0</v>
      </c>
      <c r="I39" s="23" t="n">
        <v>1</v>
      </c>
      <c r="J39" s="15">
        <f>IF(H39&gt;=0.05,"≈",IF((E39-F39)*D39&gt;0,"mejor","peor"))</f>
        <v/>
      </c>
    </row>
    <row r="40">
      <c r="A40" s="8" t="inlineStr">
        <is>
          <t>Propuesta</t>
        </is>
      </c>
      <c r="B40" s="9" t="inlineStr">
        <is>
          <t>LP</t>
        </is>
      </c>
      <c r="C40" s="20" t="inlineStr">
        <is>
          <t>SSIM</t>
        </is>
      </c>
      <c r="D40" s="11" t="n">
        <v>1</v>
      </c>
      <c r="E40" s="12" t="n">
        <v>0.6677</v>
      </c>
      <c r="F40" s="12" t="n">
        <v>0.7208</v>
      </c>
      <c r="G40" s="22" t="n">
        <v>1.9073486328125e-06</v>
      </c>
      <c r="H40" s="22" t="n">
        <v>0</v>
      </c>
      <c r="I40" s="23" t="n">
        <v>-1</v>
      </c>
      <c r="J40" s="15">
        <f>IF(H40&gt;=0.05,"≈",IF((E40-F40)*D40&gt;0,"mejor","peor"))</f>
        <v/>
      </c>
    </row>
    <row r="41">
      <c r="A41" s="8" t="inlineStr">
        <is>
          <t>Propuesta</t>
        </is>
      </c>
      <c r="B41" s="9" t="inlineStr">
        <is>
          <t>RP</t>
        </is>
      </c>
      <c r="C41" s="20" t="inlineStr">
        <is>
          <t>EN</t>
        </is>
      </c>
      <c r="D41" s="11" t="n">
        <v>1</v>
      </c>
      <c r="E41" s="12" t="n">
        <v>6.9888</v>
      </c>
      <c r="F41" s="12" t="n">
        <v>6.8285</v>
      </c>
      <c r="G41" s="22" t="n">
        <v>2.6702880859375e-05</v>
      </c>
      <c r="H41" s="22" t="n">
        <v>0.0001</v>
      </c>
      <c r="I41" s="23" t="n">
        <v>0.9399999999999999</v>
      </c>
      <c r="J41" s="15">
        <f>IF(H41&gt;=0.05,"≈",IF((E41-F41)*D41&gt;0,"mejor","peor"))</f>
        <v/>
      </c>
    </row>
    <row r="42">
      <c r="A42" s="8" t="inlineStr">
        <is>
          <t>Propuesta</t>
        </is>
      </c>
      <c r="B42" s="9" t="inlineStr">
        <is>
          <t>RP</t>
        </is>
      </c>
      <c r="C42" s="20" t="inlineStr">
        <is>
          <t>FE</t>
        </is>
      </c>
      <c r="D42" s="11" t="n">
        <v>1</v>
      </c>
      <c r="E42" s="12" t="n">
        <v>1.1045</v>
      </c>
      <c r="F42" s="12" t="n">
        <v>1.079</v>
      </c>
      <c r="G42" s="22" t="n">
        <v>2.6702880859375e-05</v>
      </c>
      <c r="H42" s="22" t="n">
        <v>0.0001</v>
      </c>
      <c r="I42" s="23" t="n">
        <v>0.9399999999999999</v>
      </c>
      <c r="J42" s="15">
        <f>IF(H42&gt;=0.05,"≈",IF((E42-F42)*D42&gt;0,"mejor","peor"))</f>
        <v/>
      </c>
    </row>
    <row r="43">
      <c r="A43" s="8" t="inlineStr">
        <is>
          <t>Propuesta</t>
        </is>
      </c>
      <c r="B43" s="9" t="inlineStr">
        <is>
          <t>RP</t>
        </is>
      </c>
      <c r="C43" s="20" t="inlineStr">
        <is>
          <t>MG</t>
        </is>
      </c>
      <c r="D43" s="11" t="n">
        <v>1</v>
      </c>
      <c r="E43" s="12" t="n">
        <v>0.0353</v>
      </c>
      <c r="F43" s="12" t="n">
        <v>0.0269</v>
      </c>
      <c r="G43" s="22" t="n">
        <v>1.9073486328125e-06</v>
      </c>
      <c r="H43" s="22" t="n">
        <v>0</v>
      </c>
      <c r="I43" s="23" t="n">
        <v>1</v>
      </c>
      <c r="J43" s="15">
        <f>IF(H43&gt;=0.05,"≈",IF((E43-F43)*D43&gt;0,"mejor","peor"))</f>
        <v/>
      </c>
    </row>
    <row r="44">
      <c r="A44" s="8" t="inlineStr">
        <is>
          <t>Propuesta</t>
        </is>
      </c>
      <c r="B44" s="9" t="inlineStr">
        <is>
          <t>RP</t>
        </is>
      </c>
      <c r="C44" s="20" t="inlineStr">
        <is>
          <t>MI_ir</t>
        </is>
      </c>
      <c r="D44" s="11" t="n">
        <v>1</v>
      </c>
      <c r="E44" s="12" t="n">
        <v>0.6708</v>
      </c>
      <c r="F44" s="12" t="n">
        <v>0.8807</v>
      </c>
      <c r="G44" s="22" t="n">
        <v>0.0239505767822265</v>
      </c>
      <c r="H44" s="22" t="n">
        <v>0.024</v>
      </c>
      <c r="I44" s="23" t="n">
        <v>-0.57</v>
      </c>
      <c r="J44" s="15">
        <f>IF(H44&gt;=0.05,"≈",IF((E44-F44)*D44&gt;0,"mejor","peor"))</f>
        <v/>
      </c>
    </row>
    <row r="45">
      <c r="A45" s="8" t="inlineStr">
        <is>
          <t>Propuesta</t>
        </is>
      </c>
      <c r="B45" s="9" t="inlineStr">
        <is>
          <t>RP</t>
        </is>
      </c>
      <c r="C45" s="20" t="inlineStr">
        <is>
          <t>MI_vis</t>
        </is>
      </c>
      <c r="D45" s="11" t="n">
        <v>1</v>
      </c>
      <c r="E45" s="12" t="n">
        <v>0.9617</v>
      </c>
      <c r="F45" s="12" t="n">
        <v>1.1698</v>
      </c>
      <c r="G45" s="22" t="n">
        <v>0.0758514404296875</v>
      </c>
      <c r="H45" s="22" t="n">
        <v>0.0759</v>
      </c>
      <c r="I45" s="23" t="n">
        <v>-0.46</v>
      </c>
      <c r="J45" s="15">
        <f>IF(H45&gt;=0.05,"≈",IF((E45-F45)*D45&gt;0,"mejor","peor"))</f>
        <v/>
      </c>
    </row>
    <row r="46">
      <c r="A46" s="8" t="inlineStr">
        <is>
          <t>Propuesta</t>
        </is>
      </c>
      <c r="B46" s="9" t="inlineStr">
        <is>
          <t>RP</t>
        </is>
      </c>
      <c r="C46" s="20" t="inlineStr">
        <is>
          <t>PSNR</t>
        </is>
      </c>
      <c r="D46" s="11" t="n">
        <v>1</v>
      </c>
      <c r="E46" s="12" t="n">
        <v>17.2546</v>
      </c>
      <c r="F46" s="12" t="n">
        <v>21.9655</v>
      </c>
      <c r="G46" s="22" t="n">
        <v>0.0001678466796875</v>
      </c>
      <c r="H46" s="22" t="n">
        <v>0.0007</v>
      </c>
      <c r="I46" s="23" t="n">
        <v>-0.88</v>
      </c>
      <c r="J46" s="15">
        <f>IF(H46&gt;=0.05,"≈",IF((E46-F46)*D46&gt;0,"mejor","peor"))</f>
        <v/>
      </c>
    </row>
    <row r="47">
      <c r="A47" s="8" t="inlineStr">
        <is>
          <t>Propuesta</t>
        </is>
      </c>
      <c r="B47" s="9" t="inlineStr">
        <is>
          <t>RP</t>
        </is>
      </c>
      <c r="C47" s="20" t="inlineStr">
        <is>
          <t>SD</t>
        </is>
      </c>
      <c r="D47" s="11" t="n">
        <v>1</v>
      </c>
      <c r="E47" s="12" t="n">
        <v>0.1477</v>
      </c>
      <c r="F47" s="12" t="n">
        <v>0.1304</v>
      </c>
      <c r="G47" s="22" t="n">
        <v>1.9073486328125e-05</v>
      </c>
      <c r="H47" s="22" t="n">
        <v>0.0001</v>
      </c>
      <c r="I47" s="23" t="n">
        <v>0.95</v>
      </c>
      <c r="J47" s="15">
        <f>IF(H47&gt;=0.05,"≈",IF((E47-F47)*D47&gt;0,"mejor","peor"))</f>
        <v/>
      </c>
    </row>
    <row r="48">
      <c r="A48" s="8" t="inlineStr">
        <is>
          <t>Propuesta</t>
        </is>
      </c>
      <c r="B48" s="9" t="inlineStr">
        <is>
          <t>RP</t>
        </is>
      </c>
      <c r="C48" s="20" t="inlineStr">
        <is>
          <t>SF</t>
        </is>
      </c>
      <c r="D48" s="11" t="n">
        <v>1</v>
      </c>
      <c r="E48" s="12" t="n">
        <v>17.3435</v>
      </c>
      <c r="F48" s="12" t="n">
        <v>13.3376</v>
      </c>
      <c r="G48" s="22" t="n">
        <v>1.9073486328125e-06</v>
      </c>
      <c r="H48" s="22" t="n">
        <v>0</v>
      </c>
      <c r="I48" s="23" t="n">
        <v>1</v>
      </c>
      <c r="J48" s="15">
        <f>IF(H48&gt;=0.05,"≈",IF((E48-F48)*D48&gt;0,"mejor","peor"))</f>
        <v/>
      </c>
    </row>
    <row r="49">
      <c r="A49" s="8" t="inlineStr">
        <is>
          <t>Propuesta</t>
        </is>
      </c>
      <c r="B49" s="9" t="inlineStr">
        <is>
          <t>RP</t>
        </is>
      </c>
      <c r="C49" s="20" t="inlineStr">
        <is>
          <t>SSIM</t>
        </is>
      </c>
      <c r="D49" s="11" t="n">
        <v>1</v>
      </c>
      <c r="E49" s="12" t="n">
        <v>0.6677</v>
      </c>
      <c r="F49" s="12" t="n">
        <v>0.7212</v>
      </c>
      <c r="G49" s="22" t="n">
        <v>6.29425048828125e-05</v>
      </c>
      <c r="H49" s="22" t="n">
        <v>0.0001</v>
      </c>
      <c r="I49" s="23" t="n">
        <v>-0.91</v>
      </c>
      <c r="J49" s="15">
        <f>IF(H49&gt;=0.05,"≈",IF((E49-F49)*D49&gt;0,"mejor","peor"))</f>
        <v/>
      </c>
    </row>
    <row r="50">
      <c r="A50" s="9" t="inlineStr">
        <is>
          <t>Top-Hat clásico</t>
        </is>
      </c>
      <c r="B50" s="9" t="inlineStr">
        <is>
          <t>CVT</t>
        </is>
      </c>
      <c r="C50" s="20" t="inlineStr">
        <is>
          <t>EN</t>
        </is>
      </c>
      <c r="D50" s="11" t="n">
        <v>1</v>
      </c>
      <c r="E50" s="12" t="n">
        <v>6.9334</v>
      </c>
      <c r="F50" s="12" t="n">
        <v>6.6645</v>
      </c>
      <c r="G50" s="22" t="n">
        <v>1.9073486328125e-06</v>
      </c>
      <c r="H50" s="22" t="n">
        <v>0</v>
      </c>
      <c r="I50" s="23" t="n">
        <v>1</v>
      </c>
      <c r="J50" s="15">
        <f>IF(H50&gt;=0.05,"≈",IF((E50-F50)*D50&gt;0,"mejor","peor"))</f>
        <v/>
      </c>
    </row>
    <row r="51">
      <c r="A51" s="9" t="inlineStr">
        <is>
          <t>Top-Hat clásico</t>
        </is>
      </c>
      <c r="B51" s="9" t="inlineStr">
        <is>
          <t>CVT</t>
        </is>
      </c>
      <c r="C51" s="20" t="inlineStr">
        <is>
          <t>FE</t>
        </is>
      </c>
      <c r="D51" s="11" t="n">
        <v>1</v>
      </c>
      <c r="E51" s="12" t="n">
        <v>1.0961</v>
      </c>
      <c r="F51" s="12" t="n">
        <v>1.0529</v>
      </c>
      <c r="G51" s="22" t="n">
        <v>1.9073486328125e-06</v>
      </c>
      <c r="H51" s="22" t="n">
        <v>0</v>
      </c>
      <c r="I51" s="23" t="n">
        <v>1</v>
      </c>
      <c r="J51" s="15">
        <f>IF(H51&gt;=0.05,"≈",IF((E51-F51)*D51&gt;0,"mejor","peor"))</f>
        <v/>
      </c>
    </row>
    <row r="52">
      <c r="A52" s="9" t="inlineStr">
        <is>
          <t>Top-Hat clásico</t>
        </is>
      </c>
      <c r="B52" s="9" t="inlineStr">
        <is>
          <t>CVT</t>
        </is>
      </c>
      <c r="C52" s="20" t="inlineStr">
        <is>
          <t>MG</t>
        </is>
      </c>
      <c r="D52" s="11" t="n">
        <v>1</v>
      </c>
      <c r="E52" s="12" t="n">
        <v>0.0473</v>
      </c>
      <c r="F52" s="12" t="n">
        <v>0.0256</v>
      </c>
      <c r="G52" s="22" t="n">
        <v>1.9073486328125e-06</v>
      </c>
      <c r="H52" s="22" t="n">
        <v>0</v>
      </c>
      <c r="I52" s="23" t="n">
        <v>1</v>
      </c>
      <c r="J52" s="15">
        <f>IF(H52&gt;=0.05,"≈",IF((E52-F52)*D52&gt;0,"mejor","peor"))</f>
        <v/>
      </c>
    </row>
    <row r="53">
      <c r="A53" s="9" t="inlineStr">
        <is>
          <t>Top-Hat clásico</t>
        </is>
      </c>
      <c r="B53" s="9" t="inlineStr">
        <is>
          <t>CVT</t>
        </is>
      </c>
      <c r="C53" s="20" t="inlineStr">
        <is>
          <t>MI_ir</t>
        </is>
      </c>
      <c r="D53" s="11" t="n">
        <v>1</v>
      </c>
      <c r="E53" s="12" t="n">
        <v>0.5864</v>
      </c>
      <c r="F53" s="12" t="n">
        <v>0.8843</v>
      </c>
      <c r="G53" s="22" t="n">
        <v>1.9073486328125e-06</v>
      </c>
      <c r="H53" s="22" t="n">
        <v>0</v>
      </c>
      <c r="I53" s="23" t="n">
        <v>-1</v>
      </c>
      <c r="J53" s="15">
        <f>IF(H53&gt;=0.05,"≈",IF((E53-F53)*D53&gt;0,"mejor","peor"))</f>
        <v/>
      </c>
    </row>
    <row r="54">
      <c r="A54" s="9" t="inlineStr">
        <is>
          <t>Top-Hat clásico</t>
        </is>
      </c>
      <c r="B54" s="9" t="inlineStr">
        <is>
          <t>CVT</t>
        </is>
      </c>
      <c r="C54" s="20" t="inlineStr">
        <is>
          <t>MI_vis</t>
        </is>
      </c>
      <c r="D54" s="11" t="n">
        <v>1</v>
      </c>
      <c r="E54" s="12" t="n">
        <v>0.8722</v>
      </c>
      <c r="F54" s="12" t="n">
        <v>1.3038</v>
      </c>
      <c r="G54" s="22" t="n">
        <v>1.9073486328125e-06</v>
      </c>
      <c r="H54" s="22" t="n">
        <v>0</v>
      </c>
      <c r="I54" s="23" t="n">
        <v>-1</v>
      </c>
      <c r="J54" s="15">
        <f>IF(H54&gt;=0.05,"≈",IF((E54-F54)*D54&gt;0,"mejor","peor"))</f>
        <v/>
      </c>
    </row>
    <row r="55">
      <c r="A55" s="9" t="inlineStr">
        <is>
          <t>Top-Hat clásico</t>
        </is>
      </c>
      <c r="B55" s="9" t="inlineStr">
        <is>
          <t>CVT</t>
        </is>
      </c>
      <c r="C55" s="20" t="inlineStr">
        <is>
          <t>PSNR</t>
        </is>
      </c>
      <c r="D55" s="11" t="n">
        <v>1</v>
      </c>
      <c r="E55" s="12" t="n">
        <v>17.4947</v>
      </c>
      <c r="F55" s="12" t="n">
        <v>22.8375</v>
      </c>
      <c r="G55" s="22" t="n">
        <v>1.9073486328125e-06</v>
      </c>
      <c r="H55" s="22" t="n">
        <v>0</v>
      </c>
      <c r="I55" s="23" t="n">
        <v>-1</v>
      </c>
      <c r="J55" s="15">
        <f>IF(H55&gt;=0.05,"≈",IF((E55-F55)*D55&gt;0,"mejor","peor"))</f>
        <v/>
      </c>
    </row>
    <row r="56">
      <c r="A56" s="9" t="inlineStr">
        <is>
          <t>Top-Hat clásico</t>
        </is>
      </c>
      <c r="B56" s="9" t="inlineStr">
        <is>
          <t>CVT</t>
        </is>
      </c>
      <c r="C56" s="20" t="inlineStr">
        <is>
          <t>SD</t>
        </is>
      </c>
      <c r="D56" s="11" t="n">
        <v>1</v>
      </c>
      <c r="E56" s="12" t="n">
        <v>0.1387</v>
      </c>
      <c r="F56" s="12" t="n">
        <v>0.1167</v>
      </c>
      <c r="G56" s="22" t="n">
        <v>1.9073486328125e-06</v>
      </c>
      <c r="H56" s="22" t="n">
        <v>0</v>
      </c>
      <c r="I56" s="23" t="n">
        <v>1</v>
      </c>
      <c r="J56" s="15">
        <f>IF(H56&gt;=0.05,"≈",IF((E56-F56)*D56&gt;0,"mejor","peor"))</f>
        <v/>
      </c>
    </row>
    <row r="57">
      <c r="A57" s="9" t="inlineStr">
        <is>
          <t>Top-Hat clásico</t>
        </is>
      </c>
      <c r="B57" s="9" t="inlineStr">
        <is>
          <t>CVT</t>
        </is>
      </c>
      <c r="C57" s="20" t="inlineStr">
        <is>
          <t>SF</t>
        </is>
      </c>
      <c r="D57" s="11" t="n">
        <v>1</v>
      </c>
      <c r="E57" s="12" t="n">
        <v>22.8554</v>
      </c>
      <c r="F57" s="12" t="n">
        <v>13.151</v>
      </c>
      <c r="G57" s="22" t="n">
        <v>1.9073486328125e-06</v>
      </c>
      <c r="H57" s="22" t="n">
        <v>0</v>
      </c>
      <c r="I57" s="23" t="n">
        <v>1</v>
      </c>
      <c r="J57" s="15">
        <f>IF(H57&gt;=0.05,"≈",IF((E57-F57)*D57&gt;0,"mejor","peor"))</f>
        <v/>
      </c>
    </row>
    <row r="58">
      <c r="A58" s="9" t="inlineStr">
        <is>
          <t>Top-Hat clásico</t>
        </is>
      </c>
      <c r="B58" s="9" t="inlineStr">
        <is>
          <t>CVT</t>
        </is>
      </c>
      <c r="C58" s="20" t="inlineStr">
        <is>
          <t>SSIM</t>
        </is>
      </c>
      <c r="D58" s="11" t="n">
        <v>1</v>
      </c>
      <c r="E58" s="12" t="n">
        <v>0.5780999999999999</v>
      </c>
      <c r="F58" s="12" t="n">
        <v>0.7305</v>
      </c>
      <c r="G58" s="22" t="n">
        <v>1.9073486328125e-06</v>
      </c>
      <c r="H58" s="22" t="n">
        <v>0</v>
      </c>
      <c r="I58" s="23" t="n">
        <v>-1</v>
      </c>
      <c r="J58" s="15">
        <f>IF(H58&gt;=0.05,"≈",IF((E58-F58)*D58&gt;0,"mejor","peor"))</f>
        <v/>
      </c>
    </row>
    <row r="59">
      <c r="A59" s="9" t="inlineStr">
        <is>
          <t>Top-Hat clásico</t>
        </is>
      </c>
      <c r="B59" s="9" t="inlineStr">
        <is>
          <t>DTCWT</t>
        </is>
      </c>
      <c r="C59" s="20" t="inlineStr">
        <is>
          <t>EN</t>
        </is>
      </c>
      <c r="D59" s="11" t="n">
        <v>1</v>
      </c>
      <c r="E59" s="12" t="n">
        <v>6.9334</v>
      </c>
      <c r="F59" s="12" t="n">
        <v>6.706</v>
      </c>
      <c r="G59" s="22" t="n">
        <v>1.9073486328125e-06</v>
      </c>
      <c r="H59" s="22" t="n">
        <v>0</v>
      </c>
      <c r="I59" s="23" t="n">
        <v>1</v>
      </c>
      <c r="J59" s="15">
        <f>IF(H59&gt;=0.05,"≈",IF((E59-F59)*D59&gt;0,"mejor","peor"))</f>
        <v/>
      </c>
    </row>
    <row r="60">
      <c r="A60" s="9" t="inlineStr">
        <is>
          <t>Top-Hat clásico</t>
        </is>
      </c>
      <c r="B60" s="9" t="inlineStr">
        <is>
          <t>DTCWT</t>
        </is>
      </c>
      <c r="C60" s="20" t="inlineStr">
        <is>
          <t>FE</t>
        </is>
      </c>
      <c r="D60" s="11" t="n">
        <v>1</v>
      </c>
      <c r="E60" s="12" t="n">
        <v>1.0961</v>
      </c>
      <c r="F60" s="12" t="n">
        <v>1.0596</v>
      </c>
      <c r="G60" s="22" t="n">
        <v>1.9073486328125e-06</v>
      </c>
      <c r="H60" s="22" t="n">
        <v>0</v>
      </c>
      <c r="I60" s="23" t="n">
        <v>1</v>
      </c>
      <c r="J60" s="15">
        <f>IF(H60&gt;=0.05,"≈",IF((E60-F60)*D60&gt;0,"mejor","peor"))</f>
        <v/>
      </c>
    </row>
    <row r="61">
      <c r="A61" s="9" t="inlineStr">
        <is>
          <t>Top-Hat clásico</t>
        </is>
      </c>
      <c r="B61" s="9" t="inlineStr">
        <is>
          <t>DTCWT</t>
        </is>
      </c>
      <c r="C61" s="20" t="inlineStr">
        <is>
          <t>MG</t>
        </is>
      </c>
      <c r="D61" s="11" t="n">
        <v>1</v>
      </c>
      <c r="E61" s="12" t="n">
        <v>0.0473</v>
      </c>
      <c r="F61" s="12" t="n">
        <v>0.0251</v>
      </c>
      <c r="G61" s="22" t="n">
        <v>1.9073486328125e-06</v>
      </c>
      <c r="H61" s="22" t="n">
        <v>0</v>
      </c>
      <c r="I61" s="23" t="n">
        <v>1</v>
      </c>
      <c r="J61" s="15">
        <f>IF(H61&gt;=0.05,"≈",IF((E61-F61)*D61&gt;0,"mejor","peor"))</f>
        <v/>
      </c>
    </row>
    <row r="62">
      <c r="A62" s="9" t="inlineStr">
        <is>
          <t>Top-Hat clásico</t>
        </is>
      </c>
      <c r="B62" s="9" t="inlineStr">
        <is>
          <t>DTCWT</t>
        </is>
      </c>
      <c r="C62" s="20" t="inlineStr">
        <is>
          <t>MI_ir</t>
        </is>
      </c>
      <c r="D62" s="11" t="n">
        <v>1</v>
      </c>
      <c r="E62" s="12" t="n">
        <v>0.5864</v>
      </c>
      <c r="F62" s="12" t="n">
        <v>0.8908</v>
      </c>
      <c r="G62" s="22" t="n">
        <v>1.9073486328125e-06</v>
      </c>
      <c r="H62" s="22" t="n">
        <v>0</v>
      </c>
      <c r="I62" s="23" t="n">
        <v>-1</v>
      </c>
      <c r="J62" s="15">
        <f>IF(H62&gt;=0.05,"≈",IF((E62-F62)*D62&gt;0,"mejor","peor"))</f>
        <v/>
      </c>
    </row>
    <row r="63">
      <c r="A63" s="9" t="inlineStr">
        <is>
          <t>Top-Hat clásico</t>
        </is>
      </c>
      <c r="B63" s="9" t="inlineStr">
        <is>
          <t>DTCWT</t>
        </is>
      </c>
      <c r="C63" s="20" t="inlineStr">
        <is>
          <t>MI_vis</t>
        </is>
      </c>
      <c r="D63" s="11" t="n">
        <v>1</v>
      </c>
      <c r="E63" s="12" t="n">
        <v>0.8722</v>
      </c>
      <c r="F63" s="12" t="n">
        <v>1.2887</v>
      </c>
      <c r="G63" s="22" t="n">
        <v>1.9073486328125e-06</v>
      </c>
      <c r="H63" s="22" t="n">
        <v>0</v>
      </c>
      <c r="I63" s="23" t="n">
        <v>-1</v>
      </c>
      <c r="J63" s="15">
        <f>IF(H63&gt;=0.05,"≈",IF((E63-F63)*D63&gt;0,"mejor","peor"))</f>
        <v/>
      </c>
    </row>
    <row r="64">
      <c r="A64" s="9" t="inlineStr">
        <is>
          <t>Top-Hat clásico</t>
        </is>
      </c>
      <c r="B64" s="9" t="inlineStr">
        <is>
          <t>DTCWT</t>
        </is>
      </c>
      <c r="C64" s="20" t="inlineStr">
        <is>
          <t>PSNR</t>
        </is>
      </c>
      <c r="D64" s="11" t="n">
        <v>1</v>
      </c>
      <c r="E64" s="12" t="n">
        <v>17.4947</v>
      </c>
      <c r="F64" s="12" t="n">
        <v>22.7857</v>
      </c>
      <c r="G64" s="22" t="n">
        <v>1.9073486328125e-06</v>
      </c>
      <c r="H64" s="22" t="n">
        <v>0</v>
      </c>
      <c r="I64" s="23" t="n">
        <v>-1</v>
      </c>
      <c r="J64" s="15">
        <f>IF(H64&gt;=0.05,"≈",IF((E64-F64)*D64&gt;0,"mejor","peor"))</f>
        <v/>
      </c>
    </row>
    <row r="65">
      <c r="A65" s="9" t="inlineStr">
        <is>
          <t>Top-Hat clásico</t>
        </is>
      </c>
      <c r="B65" s="9" t="inlineStr">
        <is>
          <t>DTCWT</t>
        </is>
      </c>
      <c r="C65" s="20" t="inlineStr">
        <is>
          <t>SD</t>
        </is>
      </c>
      <c r="D65" s="11" t="n">
        <v>1</v>
      </c>
      <c r="E65" s="12" t="n">
        <v>0.1387</v>
      </c>
      <c r="F65" s="12" t="n">
        <v>0.1205</v>
      </c>
      <c r="G65" s="22" t="n">
        <v>1.9073486328125e-06</v>
      </c>
      <c r="H65" s="22" t="n">
        <v>0</v>
      </c>
      <c r="I65" s="23" t="n">
        <v>1</v>
      </c>
      <c r="J65" s="15">
        <f>IF(H65&gt;=0.05,"≈",IF((E65-F65)*D65&gt;0,"mejor","peor"))</f>
        <v/>
      </c>
    </row>
    <row r="66">
      <c r="A66" s="9" t="inlineStr">
        <is>
          <t>Top-Hat clásico</t>
        </is>
      </c>
      <c r="B66" s="9" t="inlineStr">
        <is>
          <t>DTCWT</t>
        </is>
      </c>
      <c r="C66" s="20" t="inlineStr">
        <is>
          <t>SF</t>
        </is>
      </c>
      <c r="D66" s="11" t="n">
        <v>1</v>
      </c>
      <c r="E66" s="12" t="n">
        <v>22.8554</v>
      </c>
      <c r="F66" s="12" t="n">
        <v>13.0266</v>
      </c>
      <c r="G66" s="22" t="n">
        <v>1.9073486328125e-06</v>
      </c>
      <c r="H66" s="22" t="n">
        <v>0</v>
      </c>
      <c r="I66" s="23" t="n">
        <v>1</v>
      </c>
      <c r="J66" s="15">
        <f>IF(H66&gt;=0.05,"≈",IF((E66-F66)*D66&gt;0,"mejor","peor"))</f>
        <v/>
      </c>
    </row>
    <row r="67">
      <c r="A67" s="9" t="inlineStr">
        <is>
          <t>Top-Hat clásico</t>
        </is>
      </c>
      <c r="B67" s="9" t="inlineStr">
        <is>
          <t>DTCWT</t>
        </is>
      </c>
      <c r="C67" s="20" t="inlineStr">
        <is>
          <t>SSIM</t>
        </is>
      </c>
      <c r="D67" s="11" t="n">
        <v>1</v>
      </c>
      <c r="E67" s="12" t="n">
        <v>0.5780999999999999</v>
      </c>
      <c r="F67" s="12" t="n">
        <v>0.7386</v>
      </c>
      <c r="G67" s="22" t="n">
        <v>1.9073486328125e-06</v>
      </c>
      <c r="H67" s="22" t="n">
        <v>0</v>
      </c>
      <c r="I67" s="23" t="n">
        <v>-1</v>
      </c>
      <c r="J67" s="15">
        <f>IF(H67&gt;=0.05,"≈",IF((E67-F67)*D67&gt;0,"mejor","peor"))</f>
        <v/>
      </c>
    </row>
    <row r="68">
      <c r="A68" s="9" t="inlineStr">
        <is>
          <t>Top-Hat clásico</t>
        </is>
      </c>
      <c r="B68" s="9" t="inlineStr">
        <is>
          <t>DWT</t>
        </is>
      </c>
      <c r="C68" s="20" t="inlineStr">
        <is>
          <t>EN</t>
        </is>
      </c>
      <c r="D68" s="11" t="n">
        <v>1</v>
      </c>
      <c r="E68" s="12" t="n">
        <v>6.9334</v>
      </c>
      <c r="F68" s="12" t="n">
        <v>6.7002</v>
      </c>
      <c r="G68" s="22" t="n">
        <v>1.9073486328125e-06</v>
      </c>
      <c r="H68" s="22" t="n">
        <v>0</v>
      </c>
      <c r="I68" s="23" t="n">
        <v>1</v>
      </c>
      <c r="J68" s="15">
        <f>IF(H68&gt;=0.05,"≈",IF((E68-F68)*D68&gt;0,"mejor","peor"))</f>
        <v/>
      </c>
    </row>
    <row r="69">
      <c r="A69" s="9" t="inlineStr">
        <is>
          <t>Top-Hat clásico</t>
        </is>
      </c>
      <c r="B69" s="9" t="inlineStr">
        <is>
          <t>DWT</t>
        </is>
      </c>
      <c r="C69" s="20" t="inlineStr">
        <is>
          <t>FE</t>
        </is>
      </c>
      <c r="D69" s="11" t="n">
        <v>1</v>
      </c>
      <c r="E69" s="12" t="n">
        <v>1.0961</v>
      </c>
      <c r="F69" s="12" t="n">
        <v>1.0586</v>
      </c>
      <c r="G69" s="22" t="n">
        <v>1.9073486328125e-06</v>
      </c>
      <c r="H69" s="22" t="n">
        <v>0</v>
      </c>
      <c r="I69" s="23" t="n">
        <v>1</v>
      </c>
      <c r="J69" s="15">
        <f>IF(H69&gt;=0.05,"≈",IF((E69-F69)*D69&gt;0,"mejor","peor"))</f>
        <v/>
      </c>
    </row>
    <row r="70">
      <c r="A70" s="9" t="inlineStr">
        <is>
          <t>Top-Hat clásico</t>
        </is>
      </c>
      <c r="B70" s="9" t="inlineStr">
        <is>
          <t>DWT</t>
        </is>
      </c>
      <c r="C70" s="20" t="inlineStr">
        <is>
          <t>MG</t>
        </is>
      </c>
      <c r="D70" s="11" t="n">
        <v>1</v>
      </c>
      <c r="E70" s="12" t="n">
        <v>0.0473</v>
      </c>
      <c r="F70" s="12" t="n">
        <v>0.027</v>
      </c>
      <c r="G70" s="22" t="n">
        <v>1.9073486328125e-06</v>
      </c>
      <c r="H70" s="22" t="n">
        <v>0</v>
      </c>
      <c r="I70" s="23" t="n">
        <v>1</v>
      </c>
      <c r="J70" s="15">
        <f>IF(H70&gt;=0.05,"≈",IF((E70-F70)*D70&gt;0,"mejor","peor"))</f>
        <v/>
      </c>
    </row>
    <row r="71">
      <c r="A71" s="9" t="inlineStr">
        <is>
          <t>Top-Hat clásico</t>
        </is>
      </c>
      <c r="B71" s="9" t="inlineStr">
        <is>
          <t>DWT</t>
        </is>
      </c>
      <c r="C71" s="20" t="inlineStr">
        <is>
          <t>MI_ir</t>
        </is>
      </c>
      <c r="D71" s="11" t="n">
        <v>1</v>
      </c>
      <c r="E71" s="12" t="n">
        <v>0.5864</v>
      </c>
      <c r="F71" s="12" t="n">
        <v>0.8809</v>
      </c>
      <c r="G71" s="22" t="n">
        <v>1.9073486328125e-06</v>
      </c>
      <c r="H71" s="22" t="n">
        <v>0</v>
      </c>
      <c r="I71" s="23" t="n">
        <v>-1</v>
      </c>
      <c r="J71" s="15">
        <f>IF(H71&gt;=0.05,"≈",IF((E71-F71)*D71&gt;0,"mejor","peor"))</f>
        <v/>
      </c>
    </row>
    <row r="72">
      <c r="A72" s="9" t="inlineStr">
        <is>
          <t>Top-Hat clásico</t>
        </is>
      </c>
      <c r="B72" s="9" t="inlineStr">
        <is>
          <t>DWT</t>
        </is>
      </c>
      <c r="C72" s="20" t="inlineStr">
        <is>
          <t>MI_vis</t>
        </is>
      </c>
      <c r="D72" s="11" t="n">
        <v>1</v>
      </c>
      <c r="E72" s="12" t="n">
        <v>0.8722</v>
      </c>
      <c r="F72" s="12" t="n">
        <v>1.2846</v>
      </c>
      <c r="G72" s="22" t="n">
        <v>1.9073486328125e-06</v>
      </c>
      <c r="H72" s="22" t="n">
        <v>0</v>
      </c>
      <c r="I72" s="23" t="n">
        <v>-1</v>
      </c>
      <c r="J72" s="15">
        <f>IF(H72&gt;=0.05,"≈",IF((E72-F72)*D72&gt;0,"mejor","peor"))</f>
        <v/>
      </c>
    </row>
    <row r="73">
      <c r="A73" s="9" t="inlineStr">
        <is>
          <t>Top-Hat clásico</t>
        </is>
      </c>
      <c r="B73" s="9" t="inlineStr">
        <is>
          <t>DWT</t>
        </is>
      </c>
      <c r="C73" s="20" t="inlineStr">
        <is>
          <t>PSNR</t>
        </is>
      </c>
      <c r="D73" s="11" t="n">
        <v>1</v>
      </c>
      <c r="E73" s="12" t="n">
        <v>17.4947</v>
      </c>
      <c r="F73" s="12" t="n">
        <v>22.7767</v>
      </c>
      <c r="G73" s="22" t="n">
        <v>1.9073486328125e-06</v>
      </c>
      <c r="H73" s="22" t="n">
        <v>0</v>
      </c>
      <c r="I73" s="23" t="n">
        <v>-1</v>
      </c>
      <c r="J73" s="15">
        <f>IF(H73&gt;=0.05,"≈",IF((E73-F73)*D73&gt;0,"mejor","peor"))</f>
        <v/>
      </c>
    </row>
    <row r="74">
      <c r="A74" s="9" t="inlineStr">
        <is>
          <t>Top-Hat clásico</t>
        </is>
      </c>
      <c r="B74" s="9" t="inlineStr">
        <is>
          <t>DWT</t>
        </is>
      </c>
      <c r="C74" s="20" t="inlineStr">
        <is>
          <t>SD</t>
        </is>
      </c>
      <c r="D74" s="11" t="n">
        <v>1</v>
      </c>
      <c r="E74" s="12" t="n">
        <v>0.1387</v>
      </c>
      <c r="F74" s="12" t="n">
        <v>0.1199</v>
      </c>
      <c r="G74" s="22" t="n">
        <v>1.9073486328125e-06</v>
      </c>
      <c r="H74" s="22" t="n">
        <v>0</v>
      </c>
      <c r="I74" s="23" t="n">
        <v>1</v>
      </c>
      <c r="J74" s="15">
        <f>IF(H74&gt;=0.05,"≈",IF((E74-F74)*D74&gt;0,"mejor","peor"))</f>
        <v/>
      </c>
    </row>
    <row r="75">
      <c r="A75" s="9" t="inlineStr">
        <is>
          <t>Top-Hat clásico</t>
        </is>
      </c>
      <c r="B75" s="9" t="inlineStr">
        <is>
          <t>DWT</t>
        </is>
      </c>
      <c r="C75" s="20" t="inlineStr">
        <is>
          <t>SF</t>
        </is>
      </c>
      <c r="D75" s="11" t="n">
        <v>1</v>
      </c>
      <c r="E75" s="12" t="n">
        <v>22.8554</v>
      </c>
      <c r="F75" s="12" t="n">
        <v>13.9341</v>
      </c>
      <c r="G75" s="22" t="n">
        <v>1.9073486328125e-06</v>
      </c>
      <c r="H75" s="22" t="n">
        <v>0</v>
      </c>
      <c r="I75" s="23" t="n">
        <v>1</v>
      </c>
      <c r="J75" s="15">
        <f>IF(H75&gt;=0.05,"≈",IF((E75-F75)*D75&gt;0,"mejor","peor"))</f>
        <v/>
      </c>
    </row>
    <row r="76">
      <c r="A76" s="9" t="inlineStr">
        <is>
          <t>Top-Hat clásico</t>
        </is>
      </c>
      <c r="B76" s="9" t="inlineStr">
        <is>
          <t>DWT</t>
        </is>
      </c>
      <c r="C76" s="20" t="inlineStr">
        <is>
          <t>SSIM</t>
        </is>
      </c>
      <c r="D76" s="11" t="n">
        <v>1</v>
      </c>
      <c r="E76" s="12" t="n">
        <v>0.5780999999999999</v>
      </c>
      <c r="F76" s="12" t="n">
        <v>0.7163</v>
      </c>
      <c r="G76" s="22" t="n">
        <v>1.9073486328125e-06</v>
      </c>
      <c r="H76" s="22" t="n">
        <v>0</v>
      </c>
      <c r="I76" s="23" t="n">
        <v>-1</v>
      </c>
      <c r="J76" s="15">
        <f>IF(H76&gt;=0.05,"≈",IF((E76-F76)*D76&gt;0,"mejor","peor"))</f>
        <v/>
      </c>
    </row>
    <row r="77">
      <c r="A77" s="9" t="inlineStr">
        <is>
          <t>Top-Hat clásico</t>
        </is>
      </c>
      <c r="B77" s="9" t="inlineStr">
        <is>
          <t>LP</t>
        </is>
      </c>
      <c r="C77" s="20" t="inlineStr">
        <is>
          <t>EN</t>
        </is>
      </c>
      <c r="D77" s="11" t="n">
        <v>1</v>
      </c>
      <c r="E77" s="12" t="n">
        <v>6.9334</v>
      </c>
      <c r="F77" s="12" t="n">
        <v>6.835</v>
      </c>
      <c r="G77" s="22" t="n">
        <v>0.0758514404296875</v>
      </c>
      <c r="H77" s="22" t="n">
        <v>0.0759</v>
      </c>
      <c r="I77" s="23" t="n">
        <v>0.46</v>
      </c>
      <c r="J77" s="15">
        <f>IF(H77&gt;=0.05,"≈",IF((E77-F77)*D77&gt;0,"mejor","peor"))</f>
        <v/>
      </c>
    </row>
    <row r="78">
      <c r="A78" s="9" t="inlineStr">
        <is>
          <t>Top-Hat clásico</t>
        </is>
      </c>
      <c r="B78" s="9" t="inlineStr">
        <is>
          <t>LP</t>
        </is>
      </c>
      <c r="C78" s="20" t="inlineStr">
        <is>
          <t>FE</t>
        </is>
      </c>
      <c r="D78" s="11" t="n">
        <v>1</v>
      </c>
      <c r="E78" s="12" t="n">
        <v>1.0961</v>
      </c>
      <c r="F78" s="12" t="n">
        <v>1.0792</v>
      </c>
      <c r="G78" s="22" t="n">
        <v>0.0758514404296875</v>
      </c>
      <c r="H78" s="22" t="n">
        <v>0.0759</v>
      </c>
      <c r="I78" s="23" t="n">
        <v>0.46</v>
      </c>
      <c r="J78" s="15">
        <f>IF(H78&gt;=0.05,"≈",IF((E78-F78)*D78&gt;0,"mejor","peor"))</f>
        <v/>
      </c>
    </row>
    <row r="79">
      <c r="A79" s="9" t="inlineStr">
        <is>
          <t>Top-Hat clásico</t>
        </is>
      </c>
      <c r="B79" s="9" t="inlineStr">
        <is>
          <t>LP</t>
        </is>
      </c>
      <c r="C79" s="20" t="inlineStr">
        <is>
          <t>MG</t>
        </is>
      </c>
      <c r="D79" s="11" t="n">
        <v>1</v>
      </c>
      <c r="E79" s="12" t="n">
        <v>0.0473</v>
      </c>
      <c r="F79" s="12" t="n">
        <v>0.0248</v>
      </c>
      <c r="G79" s="22" t="n">
        <v>1.9073486328125e-06</v>
      </c>
      <c r="H79" s="22" t="n">
        <v>0</v>
      </c>
      <c r="I79" s="23" t="n">
        <v>1</v>
      </c>
      <c r="J79" s="15">
        <f>IF(H79&gt;=0.05,"≈",IF((E79-F79)*D79&gt;0,"mejor","peor"))</f>
        <v/>
      </c>
    </row>
    <row r="80">
      <c r="A80" s="9" t="inlineStr">
        <is>
          <t>Top-Hat clásico</t>
        </is>
      </c>
      <c r="B80" s="9" t="inlineStr">
        <is>
          <t>LP</t>
        </is>
      </c>
      <c r="C80" s="20" t="inlineStr">
        <is>
          <t>MI_ir</t>
        </is>
      </c>
      <c r="D80" s="11" t="n">
        <v>1</v>
      </c>
      <c r="E80" s="12" t="n">
        <v>0.5864</v>
      </c>
      <c r="F80" s="12" t="n">
        <v>1.0717</v>
      </c>
      <c r="G80" s="22" t="n">
        <v>3.62396240234375e-05</v>
      </c>
      <c r="H80" s="22" t="n">
        <v>0.0002</v>
      </c>
      <c r="I80" s="23" t="n">
        <v>-0.93</v>
      </c>
      <c r="J80" s="15">
        <f>IF(H80&gt;=0.05,"≈",IF((E80-F80)*D80&gt;0,"mejor","peor"))</f>
        <v/>
      </c>
    </row>
    <row r="81">
      <c r="A81" s="9" t="inlineStr">
        <is>
          <t>Top-Hat clásico</t>
        </is>
      </c>
      <c r="B81" s="9" t="inlineStr">
        <is>
          <t>LP</t>
        </is>
      </c>
      <c r="C81" s="20" t="inlineStr">
        <is>
          <t>MI_vis</t>
        </is>
      </c>
      <c r="D81" s="11" t="n">
        <v>1</v>
      </c>
      <c r="E81" s="12" t="n">
        <v>0.8722</v>
      </c>
      <c r="F81" s="12" t="n">
        <v>2.1183</v>
      </c>
      <c r="G81" s="22" t="n">
        <v>1.9073486328125e-05</v>
      </c>
      <c r="H81" s="22" t="n">
        <v>0.0001</v>
      </c>
      <c r="I81" s="23" t="n">
        <v>-0.95</v>
      </c>
      <c r="J81" s="15">
        <f>IF(H81&gt;=0.05,"≈",IF((E81-F81)*D81&gt;0,"mejor","peor"))</f>
        <v/>
      </c>
    </row>
    <row r="82">
      <c r="A82" s="9" t="inlineStr">
        <is>
          <t>Top-Hat clásico</t>
        </is>
      </c>
      <c r="B82" s="9" t="inlineStr">
        <is>
          <t>LP</t>
        </is>
      </c>
      <c r="C82" s="20" t="inlineStr">
        <is>
          <t>PSNR</t>
        </is>
      </c>
      <c r="D82" s="11" t="n">
        <v>1</v>
      </c>
      <c r="E82" s="12" t="n">
        <v>17.4947</v>
      </c>
      <c r="F82" s="12" t="n">
        <v>20.2687</v>
      </c>
      <c r="G82" s="22" t="n">
        <v>0.0007076263427734</v>
      </c>
      <c r="H82" s="22" t="n">
        <v>0.0014</v>
      </c>
      <c r="I82" s="23" t="n">
        <v>0.8100000000000001</v>
      </c>
      <c r="J82" s="15">
        <f>IF(H82&gt;=0.05,"≈",IF((E82-F82)*D82&gt;0,"mejor","peor"))</f>
        <v/>
      </c>
    </row>
    <row r="83">
      <c r="A83" s="9" t="inlineStr">
        <is>
          <t>Top-Hat clásico</t>
        </is>
      </c>
      <c r="B83" s="9" t="inlineStr">
        <is>
          <t>LP</t>
        </is>
      </c>
      <c r="C83" s="20" t="inlineStr">
        <is>
          <t>SD</t>
        </is>
      </c>
      <c r="D83" s="11" t="n">
        <v>1</v>
      </c>
      <c r="E83" s="12" t="n">
        <v>0.1387</v>
      </c>
      <c r="F83" s="12" t="n">
        <v>0.1548</v>
      </c>
      <c r="G83" s="22" t="n">
        <v>0.082550048828125</v>
      </c>
      <c r="H83" s="22" t="n">
        <v>0.1651</v>
      </c>
      <c r="I83" s="23" t="n">
        <v>-0.45</v>
      </c>
      <c r="J83" s="15">
        <f>IF(H83&gt;=0.05,"≈",IF((E83-F83)*D83&gt;0,"mejor","peor"))</f>
        <v/>
      </c>
    </row>
    <row r="84">
      <c r="A84" s="9" t="inlineStr">
        <is>
          <t>Top-Hat clásico</t>
        </is>
      </c>
      <c r="B84" s="9" t="inlineStr">
        <is>
          <t>LP</t>
        </is>
      </c>
      <c r="C84" s="20" t="inlineStr">
        <is>
          <t>SF</t>
        </is>
      </c>
      <c r="D84" s="11" t="n">
        <v>1</v>
      </c>
      <c r="E84" s="12" t="n">
        <v>22.8554</v>
      </c>
      <c r="F84" s="12" t="n">
        <v>13.04</v>
      </c>
      <c r="G84" s="22" t="n">
        <v>1.9073486328125e-06</v>
      </c>
      <c r="H84" s="22" t="n">
        <v>0</v>
      </c>
      <c r="I84" s="23" t="n">
        <v>1</v>
      </c>
      <c r="J84" s="15">
        <f>IF(H84&gt;=0.05,"≈",IF((E84-F84)*D84&gt;0,"mejor","peor"))</f>
        <v/>
      </c>
    </row>
    <row r="85">
      <c r="A85" s="9" t="inlineStr">
        <is>
          <t>Top-Hat clásico</t>
        </is>
      </c>
      <c r="B85" s="9" t="inlineStr">
        <is>
          <t>LP</t>
        </is>
      </c>
      <c r="C85" s="20" t="inlineStr">
        <is>
          <t>SSIM</t>
        </is>
      </c>
      <c r="D85" s="11" t="n">
        <v>1</v>
      </c>
      <c r="E85" s="12" t="n">
        <v>0.5780999999999999</v>
      </c>
      <c r="F85" s="12" t="n">
        <v>0.7208</v>
      </c>
      <c r="G85" s="22" t="n">
        <v>1.9073486328125e-06</v>
      </c>
      <c r="H85" s="22" t="n">
        <v>0</v>
      </c>
      <c r="I85" s="23" t="n">
        <v>-1</v>
      </c>
      <c r="J85" s="15">
        <f>IF(H85&gt;=0.05,"≈",IF((E85-F85)*D85&gt;0,"mejor","peor"))</f>
        <v/>
      </c>
    </row>
    <row r="86">
      <c r="A86" s="9" t="inlineStr">
        <is>
          <t>Top-Hat clásico</t>
        </is>
      </c>
      <c r="B86" s="9" t="inlineStr">
        <is>
          <t>RP</t>
        </is>
      </c>
      <c r="C86" s="20" t="inlineStr">
        <is>
          <t>EN</t>
        </is>
      </c>
      <c r="D86" s="11" t="n">
        <v>1</v>
      </c>
      <c r="E86" s="12" t="n">
        <v>6.9334</v>
      </c>
      <c r="F86" s="12" t="n">
        <v>6.8285</v>
      </c>
      <c r="G86" s="22" t="n">
        <v>0.0008506774902343</v>
      </c>
      <c r="H86" s="22" t="n">
        <v>0.0026</v>
      </c>
      <c r="I86" s="23" t="n">
        <v>0.8</v>
      </c>
      <c r="J86" s="15">
        <f>IF(H86&gt;=0.05,"≈",IF((E86-F86)*D86&gt;0,"mejor","peor"))</f>
        <v/>
      </c>
    </row>
    <row r="87">
      <c r="A87" s="9" t="inlineStr">
        <is>
          <t>Top-Hat clásico</t>
        </is>
      </c>
      <c r="B87" s="9" t="inlineStr">
        <is>
          <t>RP</t>
        </is>
      </c>
      <c r="C87" s="20" t="inlineStr">
        <is>
          <t>FE</t>
        </is>
      </c>
      <c r="D87" s="11" t="n">
        <v>1</v>
      </c>
      <c r="E87" s="12" t="n">
        <v>1.0961</v>
      </c>
      <c r="F87" s="12" t="n">
        <v>1.079</v>
      </c>
      <c r="G87" s="22" t="n">
        <v>0.0005855560302734</v>
      </c>
      <c r="H87" s="22" t="n">
        <v>0.0018</v>
      </c>
      <c r="I87" s="23" t="n">
        <v>0.82</v>
      </c>
      <c r="J87" s="15">
        <f>IF(H87&gt;=0.05,"≈",IF((E87-F87)*D87&gt;0,"mejor","peor"))</f>
        <v/>
      </c>
    </row>
    <row r="88">
      <c r="A88" s="9" t="inlineStr">
        <is>
          <t>Top-Hat clásico</t>
        </is>
      </c>
      <c r="B88" s="9" t="inlineStr">
        <is>
          <t>RP</t>
        </is>
      </c>
      <c r="C88" s="20" t="inlineStr">
        <is>
          <t>MG</t>
        </is>
      </c>
      <c r="D88" s="11" t="n">
        <v>1</v>
      </c>
      <c r="E88" s="12" t="n">
        <v>0.0473</v>
      </c>
      <c r="F88" s="12" t="n">
        <v>0.0269</v>
      </c>
      <c r="G88" s="22" t="n">
        <v>1.9073486328125e-06</v>
      </c>
      <c r="H88" s="22" t="n">
        <v>0</v>
      </c>
      <c r="I88" s="23" t="n">
        <v>1</v>
      </c>
      <c r="J88" s="15">
        <f>IF(H88&gt;=0.05,"≈",IF((E88-F88)*D88&gt;0,"mejor","peor"))</f>
        <v/>
      </c>
    </row>
    <row r="89">
      <c r="A89" s="9" t="inlineStr">
        <is>
          <t>Top-Hat clásico</t>
        </is>
      </c>
      <c r="B89" s="9" t="inlineStr">
        <is>
          <t>RP</t>
        </is>
      </c>
      <c r="C89" s="20" t="inlineStr">
        <is>
          <t>MI_ir</t>
        </is>
      </c>
      <c r="D89" s="11" t="n">
        <v>1</v>
      </c>
      <c r="E89" s="12" t="n">
        <v>0.5864</v>
      </c>
      <c r="F89" s="12" t="n">
        <v>0.8807</v>
      </c>
      <c r="G89" s="22" t="n">
        <v>4.76837158203125e-05</v>
      </c>
      <c r="H89" s="22" t="n">
        <v>0.0002</v>
      </c>
      <c r="I89" s="23" t="n">
        <v>-0.92</v>
      </c>
      <c r="J89" s="15">
        <f>IF(H89&gt;=0.05,"≈",IF((E89-F89)*D89&gt;0,"mejor","peor"))</f>
        <v/>
      </c>
    </row>
    <row r="90">
      <c r="A90" s="9" t="inlineStr">
        <is>
          <t>Top-Hat clásico</t>
        </is>
      </c>
      <c r="B90" s="9" t="inlineStr">
        <is>
          <t>RP</t>
        </is>
      </c>
      <c r="C90" s="20" t="inlineStr">
        <is>
          <t>MI_vis</t>
        </is>
      </c>
      <c r="D90" s="11" t="n">
        <v>1</v>
      </c>
      <c r="E90" s="12" t="n">
        <v>0.8722</v>
      </c>
      <c r="F90" s="12" t="n">
        <v>1.1698</v>
      </c>
      <c r="G90" s="22" t="n">
        <v>0.0004825592041015</v>
      </c>
      <c r="H90" s="22" t="n">
        <v>0.001</v>
      </c>
      <c r="I90" s="23" t="n">
        <v>-0.83</v>
      </c>
      <c r="J90" s="15">
        <f>IF(H90&gt;=0.05,"≈",IF((E90-F90)*D90&gt;0,"mejor","peor"))</f>
        <v/>
      </c>
    </row>
    <row r="91">
      <c r="A91" s="9" t="inlineStr">
        <is>
          <t>Top-Hat clásico</t>
        </is>
      </c>
      <c r="B91" s="9" t="inlineStr">
        <is>
          <t>RP</t>
        </is>
      </c>
      <c r="C91" s="20" t="inlineStr">
        <is>
          <t>PSNR</t>
        </is>
      </c>
      <c r="D91" s="11" t="n">
        <v>1</v>
      </c>
      <c r="E91" s="12" t="n">
        <v>17.4947</v>
      </c>
      <c r="F91" s="12" t="n">
        <v>21.9655</v>
      </c>
      <c r="G91" s="22" t="n">
        <v>0.0003223419189453</v>
      </c>
      <c r="H91" s="22" t="n">
        <v>0.001</v>
      </c>
      <c r="I91" s="23" t="n">
        <v>-0.85</v>
      </c>
      <c r="J91" s="15">
        <f>IF(H91&gt;=0.05,"≈",IF((E91-F91)*D91&gt;0,"mejor","peor"))</f>
        <v/>
      </c>
    </row>
    <row r="92">
      <c r="A92" s="9" t="inlineStr">
        <is>
          <t>Top-Hat clásico</t>
        </is>
      </c>
      <c r="B92" s="9" t="inlineStr">
        <is>
          <t>RP</t>
        </is>
      </c>
      <c r="C92" s="20" t="inlineStr">
        <is>
          <t>SD</t>
        </is>
      </c>
      <c r="D92" s="11" t="n">
        <v>1</v>
      </c>
      <c r="E92" s="12" t="n">
        <v>0.1387</v>
      </c>
      <c r="F92" s="12" t="n">
        <v>0.1304</v>
      </c>
      <c r="G92" s="22" t="n">
        <v>0.0016899108886718</v>
      </c>
      <c r="H92" s="22" t="n">
        <v>0.0051</v>
      </c>
      <c r="I92" s="23" t="n">
        <v>0.76</v>
      </c>
      <c r="J92" s="15">
        <f>IF(H92&gt;=0.05,"≈",IF((E92-F92)*D92&gt;0,"mejor","peor"))</f>
        <v/>
      </c>
    </row>
    <row r="93">
      <c r="A93" s="9" t="inlineStr">
        <is>
          <t>Top-Hat clásico</t>
        </is>
      </c>
      <c r="B93" s="9" t="inlineStr">
        <is>
          <t>RP</t>
        </is>
      </c>
      <c r="C93" s="20" t="inlineStr">
        <is>
          <t>SF</t>
        </is>
      </c>
      <c r="D93" s="11" t="n">
        <v>1</v>
      </c>
      <c r="E93" s="12" t="n">
        <v>22.8554</v>
      </c>
      <c r="F93" s="12" t="n">
        <v>13.3376</v>
      </c>
      <c r="G93" s="22" t="n">
        <v>1.9073486328125e-06</v>
      </c>
      <c r="H93" s="22" t="n">
        <v>0</v>
      </c>
      <c r="I93" s="23" t="n">
        <v>1</v>
      </c>
      <c r="J93" s="15">
        <f>IF(H93&gt;=0.05,"≈",IF((E93-F93)*D93&gt;0,"mejor","peor"))</f>
        <v/>
      </c>
    </row>
    <row r="94">
      <c r="A94" s="9" t="inlineStr">
        <is>
          <t>Top-Hat clásico</t>
        </is>
      </c>
      <c r="B94" s="9" t="inlineStr">
        <is>
          <t>RP</t>
        </is>
      </c>
      <c r="C94" s="20" t="inlineStr">
        <is>
          <t>SSIM</t>
        </is>
      </c>
      <c r="D94" s="11" t="n">
        <v>1</v>
      </c>
      <c r="E94" s="12" t="n">
        <v>0.5780999999999999</v>
      </c>
      <c r="F94" s="12" t="n">
        <v>0.7212</v>
      </c>
      <c r="G94" s="22" t="n">
        <v>1.9073486328125e-06</v>
      </c>
      <c r="H94" s="22" t="n">
        <v>0</v>
      </c>
      <c r="I94" s="23" t="n">
        <v>-1</v>
      </c>
      <c r="J94" s="15">
        <f>IF(H94&gt;=0.05,"≈",IF((E94-F94)*D94&gt;0,"mejor","peor"))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1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8.5" customWidth="1" min="2" max="2"/>
    <col width="8.5" customWidth="1" min="3" max="3"/>
    <col width="8.5" customWidth="1" min="4" max="4"/>
    <col width="8.5" customWidth="1" min="5" max="5"/>
    <col width="8.5" customWidth="1" min="6" max="6"/>
    <col width="8.5" customWidth="1" min="7" max="7"/>
    <col width="8.5" customWidth="1" min="8" max="8"/>
    <col width="8.5" customWidth="1" min="9" max="9"/>
    <col width="8.5" customWidth="1" min="10" max="10"/>
    <col width="8.5" customWidth="1" min="11" max="11"/>
  </cols>
  <sheetData>
    <row r="1">
      <c r="A1" s="1" t="inlineStr">
        <is>
          <t>Ranking global de los 7 métodos (nueve métricas, dirección respetada)</t>
        </is>
      </c>
    </row>
    <row r="2">
      <c r="A2" s="2" t="inlineStr">
        <is>
          <t>Rango 1 = mejor en esa métrica. La columna final promedia los nueve rangos con fórmula. La propuesta es 1ª en EN y FE y 2ª en SD, MG y SF; cede en las métricas de fidelidad a las fuentes (SSIM, PSNR) y en información mutua, lideradas por los métodos multiescala. Queda 2ª en el ranking global (3,67), tras la pirámide de Laplace (3,44).</t>
        </is>
      </c>
    </row>
    <row r="4">
      <c r="A4" s="10" t="inlineStr">
        <is>
          <t>Método</t>
        </is>
      </c>
      <c r="B4" s="10" t="inlineStr">
        <is>
          <t>EN</t>
        </is>
      </c>
      <c r="C4" s="10" t="inlineStr">
        <is>
          <t>SD</t>
        </is>
      </c>
      <c r="D4" s="10" t="inlineStr">
        <is>
          <t>FE</t>
        </is>
      </c>
      <c r="E4" s="10" t="inlineStr">
        <is>
          <t>MG</t>
        </is>
      </c>
      <c r="F4" s="10" t="inlineStr">
        <is>
          <t>MI_vis</t>
        </is>
      </c>
      <c r="G4" s="10" t="inlineStr">
        <is>
          <t>MI_ir</t>
        </is>
      </c>
      <c r="H4" s="10" t="inlineStr">
        <is>
          <t>SF</t>
        </is>
      </c>
      <c r="I4" s="10" t="inlineStr">
        <is>
          <t>SSIM</t>
        </is>
      </c>
      <c r="J4" s="10" t="inlineStr">
        <is>
          <t>PSNR</t>
        </is>
      </c>
      <c r="K4" s="10" t="inlineStr">
        <is>
          <t>Rank promedio</t>
        </is>
      </c>
    </row>
    <row r="5">
      <c r="A5" s="9" t="inlineStr">
        <is>
          <t>Pirámide de Laplace (LP)</t>
        </is>
      </c>
      <c r="B5" s="21" t="n">
        <v>3</v>
      </c>
      <c r="C5" s="21" t="n">
        <v>1</v>
      </c>
      <c r="D5" s="21" t="n">
        <v>3</v>
      </c>
      <c r="E5" s="21" t="n">
        <v>7</v>
      </c>
      <c r="F5" s="21" t="n">
        <v>1</v>
      </c>
      <c r="G5" s="21" t="n">
        <v>1</v>
      </c>
      <c r="H5" s="21" t="n">
        <v>6</v>
      </c>
      <c r="I5" s="21" t="n">
        <v>4</v>
      </c>
      <c r="J5" s="21" t="n">
        <v>5</v>
      </c>
      <c r="K5" s="24">
        <f>AVERAGE(B5:J5)</f>
        <v/>
      </c>
    </row>
    <row r="6">
      <c r="A6" s="8" t="inlineStr">
        <is>
          <t>PROPUESTA NOVEDOSA (r=25, m=0,30)</t>
        </is>
      </c>
      <c r="B6" s="25" t="n">
        <v>1</v>
      </c>
      <c r="C6" s="25" t="n">
        <v>2</v>
      </c>
      <c r="D6" s="25" t="n">
        <v>1</v>
      </c>
      <c r="E6" s="25" t="n">
        <v>2</v>
      </c>
      <c r="F6" s="25" t="n">
        <v>6</v>
      </c>
      <c r="G6" s="25" t="n">
        <v>6</v>
      </c>
      <c r="H6" s="25" t="n">
        <v>2</v>
      </c>
      <c r="I6" s="25" t="n">
        <v>6</v>
      </c>
      <c r="J6" s="25" t="n">
        <v>7</v>
      </c>
      <c r="K6" s="24">
        <f>AVERAGE(B6:J6)</f>
        <v/>
      </c>
    </row>
    <row r="7">
      <c r="A7" s="9" t="inlineStr">
        <is>
          <t>Dual-Tree Complex Wavelet (DTCWT)</t>
        </is>
      </c>
      <c r="B7" s="21" t="n">
        <v>5</v>
      </c>
      <c r="C7" s="21" t="n">
        <v>5</v>
      </c>
      <c r="D7" s="21" t="n">
        <v>5</v>
      </c>
      <c r="E7" s="21" t="n">
        <v>6</v>
      </c>
      <c r="F7" s="21" t="n">
        <v>3</v>
      </c>
      <c r="G7" s="21" t="n">
        <v>2</v>
      </c>
      <c r="H7" s="21" t="n">
        <v>7</v>
      </c>
      <c r="I7" s="21" t="n">
        <v>1</v>
      </c>
      <c r="J7" s="21" t="n">
        <v>2</v>
      </c>
      <c r="K7" s="24">
        <f>AVERAGE(B7:J7)</f>
        <v/>
      </c>
    </row>
    <row r="8">
      <c r="A8" s="9" t="inlineStr">
        <is>
          <t>Top-Hat clásico</t>
        </is>
      </c>
      <c r="B8" s="21" t="n">
        <v>2</v>
      </c>
      <c r="C8" s="21" t="n">
        <v>3</v>
      </c>
      <c r="D8" s="21" t="n">
        <v>2</v>
      </c>
      <c r="E8" s="21" t="n">
        <v>1</v>
      </c>
      <c r="F8" s="21" t="n">
        <v>7</v>
      </c>
      <c r="G8" s="21" t="n">
        <v>7</v>
      </c>
      <c r="H8" s="21" t="n">
        <v>1</v>
      </c>
      <c r="I8" s="21" t="n">
        <v>7</v>
      </c>
      <c r="J8" s="21" t="n">
        <v>6</v>
      </c>
      <c r="K8" s="24">
        <f>AVERAGE(B8:J8)</f>
        <v/>
      </c>
    </row>
    <row r="9">
      <c r="A9" s="9" t="inlineStr">
        <is>
          <t>Ratio of low-pass Pyramid (RP)</t>
        </is>
      </c>
      <c r="B9" s="21" t="n">
        <v>4</v>
      </c>
      <c r="C9" s="21" t="n">
        <v>4</v>
      </c>
      <c r="D9" s="21" t="n">
        <v>4</v>
      </c>
      <c r="E9" s="21" t="n">
        <v>4</v>
      </c>
      <c r="F9" s="21" t="n">
        <v>5</v>
      </c>
      <c r="G9" s="21" t="n">
        <v>5</v>
      </c>
      <c r="H9" s="21" t="n">
        <v>4</v>
      </c>
      <c r="I9" s="21" t="n">
        <v>3</v>
      </c>
      <c r="J9" s="21" t="n">
        <v>4</v>
      </c>
      <c r="K9" s="24">
        <f>AVERAGE(B9:J9)</f>
        <v/>
      </c>
    </row>
    <row r="10">
      <c r="A10" s="9" t="inlineStr">
        <is>
          <t>Curvelet (CVT)</t>
        </is>
      </c>
      <c r="B10" s="21" t="n">
        <v>7</v>
      </c>
      <c r="C10" s="21" t="n">
        <v>7</v>
      </c>
      <c r="D10" s="21" t="n">
        <v>7</v>
      </c>
      <c r="E10" s="21" t="n">
        <v>5</v>
      </c>
      <c r="F10" s="21" t="n">
        <v>2</v>
      </c>
      <c r="G10" s="21" t="n">
        <v>3</v>
      </c>
      <c r="H10" s="21" t="n">
        <v>5</v>
      </c>
      <c r="I10" s="21" t="n">
        <v>2</v>
      </c>
      <c r="J10" s="21" t="n">
        <v>1</v>
      </c>
      <c r="K10" s="24">
        <f>AVERAGE(B10:J10)</f>
        <v/>
      </c>
    </row>
    <row r="11">
      <c r="A11" s="9" t="inlineStr">
        <is>
          <t>Wavelet discreta (DWT)</t>
        </is>
      </c>
      <c r="B11" s="21" t="n">
        <v>6</v>
      </c>
      <c r="C11" s="21" t="n">
        <v>6</v>
      </c>
      <c r="D11" s="21" t="n">
        <v>6</v>
      </c>
      <c r="E11" s="21" t="n">
        <v>3</v>
      </c>
      <c r="F11" s="21" t="n">
        <v>4</v>
      </c>
      <c r="G11" s="21" t="n">
        <v>4</v>
      </c>
      <c r="H11" s="21" t="n">
        <v>3</v>
      </c>
      <c r="I11" s="21" t="n">
        <v>5</v>
      </c>
      <c r="J11" s="21" t="n">
        <v>3</v>
      </c>
      <c r="K11" s="24">
        <f>AVERAGE(B11:J11)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Evaluación orientada a tarea — detección de peatones en LLVIP</t>
        </is>
      </c>
    </row>
    <row r="2">
      <c r="A2" s="2" t="inlineStr">
        <is>
          <t>YOLOv8n reentrenado 40 épocas por método (subconjunto 2.000 train / 500 val, misma config y semilla). Etiquetas idénticas para todos: la diferencia de mAP aísla el efecto del método de fusión. En negrita el mejor por columna.</t>
        </is>
      </c>
    </row>
    <row r="4">
      <c r="A4" s="10" t="inlineStr">
        <is>
          <t>Entrada del detector</t>
        </is>
      </c>
      <c r="B4" s="10" t="inlineStr">
        <is>
          <t>mAP@0,5 ↑</t>
        </is>
      </c>
      <c r="C4" s="10" t="inlineStr">
        <is>
          <t>mAP@0,5:0,95 ↑</t>
        </is>
      </c>
      <c r="D4" s="10" t="inlineStr">
        <is>
          <t>Precisión ↑</t>
        </is>
      </c>
      <c r="E4" s="10" t="inlineStr">
        <is>
          <t>Recall ↑</t>
        </is>
      </c>
    </row>
    <row r="5">
      <c r="A5" s="9" t="inlineStr">
        <is>
          <t>VIS (solo)</t>
        </is>
      </c>
      <c r="B5" s="16" t="n">
        <v>0.8080000000000001</v>
      </c>
      <c r="C5" s="16" t="n">
        <v>0.4512</v>
      </c>
      <c r="D5" s="16" t="n">
        <v>0.8033</v>
      </c>
      <c r="E5" s="16" t="n">
        <v>0.7506</v>
      </c>
    </row>
    <row r="6">
      <c r="A6" s="9" t="inlineStr">
        <is>
          <t>IR (solo)</t>
        </is>
      </c>
      <c r="B6" s="17" t="n">
        <v>0.957</v>
      </c>
      <c r="C6" s="17" t="n">
        <v>0.6627</v>
      </c>
      <c r="D6" s="16" t="n">
        <v>0.968</v>
      </c>
      <c r="E6" s="17" t="n">
        <v>0.8935999999999999</v>
      </c>
    </row>
    <row r="7">
      <c r="A7" s="9" t="inlineStr">
        <is>
          <t>Pirámide de Laplace (LP)</t>
        </is>
      </c>
      <c r="B7" s="16" t="n">
        <v>0.9487</v>
      </c>
      <c r="C7" s="16" t="n">
        <v>0.6509</v>
      </c>
      <c r="D7" s="16" t="n">
        <v>0.9426</v>
      </c>
      <c r="E7" s="16" t="n">
        <v>0.8788</v>
      </c>
    </row>
    <row r="8">
      <c r="A8" s="9" t="inlineStr">
        <is>
          <t>Ratio of low-pass Pyramid (RP)</t>
        </is>
      </c>
      <c r="B8" s="16" t="n">
        <v>0.9261</v>
      </c>
      <c r="C8" s="16" t="n">
        <v>0.5381</v>
      </c>
      <c r="D8" s="16" t="n">
        <v>0.9404</v>
      </c>
      <c r="E8" s="16" t="n">
        <v>0.8663999999999999</v>
      </c>
    </row>
    <row r="9">
      <c r="A9" s="9" t="inlineStr">
        <is>
          <t>Wavelet discreta (DWT)</t>
        </is>
      </c>
      <c r="B9" s="16" t="n">
        <v>0.9457</v>
      </c>
      <c r="C9" s="16" t="n">
        <v>0.6141</v>
      </c>
      <c r="D9" s="17" t="n">
        <v>0.9735</v>
      </c>
      <c r="E9" s="16" t="n">
        <v>0.8532</v>
      </c>
    </row>
    <row r="10">
      <c r="A10" s="9" t="inlineStr">
        <is>
          <t>Dual-Tree Complex Wavelet (DTCWT)</t>
        </is>
      </c>
      <c r="B10" s="16" t="n">
        <v>0.9479</v>
      </c>
      <c r="C10" s="16" t="n">
        <v>0.6329</v>
      </c>
      <c r="D10" s="16" t="n">
        <v>0.9492</v>
      </c>
      <c r="E10" s="16" t="n">
        <v>0.8577</v>
      </c>
    </row>
    <row r="11">
      <c r="A11" s="9" t="inlineStr">
        <is>
          <t>Curvelet (CVT)</t>
        </is>
      </c>
      <c r="B11" s="16" t="n">
        <v>0.9414</v>
      </c>
      <c r="C11" s="16" t="n">
        <v>0.6388</v>
      </c>
      <c r="D11" s="16" t="n">
        <v>0.972</v>
      </c>
      <c r="E11" s="16" t="n">
        <v>0.8683</v>
      </c>
    </row>
    <row r="12">
      <c r="A12" s="9" t="inlineStr">
        <is>
          <t>Top-Hat clásico</t>
        </is>
      </c>
      <c r="B12" s="16" t="n">
        <v>0.9383</v>
      </c>
      <c r="C12" s="16" t="n">
        <v>0.6093</v>
      </c>
      <c r="D12" s="16" t="n">
        <v>0.9571</v>
      </c>
      <c r="E12" s="16" t="n">
        <v>0.8662</v>
      </c>
    </row>
    <row r="13">
      <c r="A13" s="8" t="inlineStr">
        <is>
          <t>Propuesta Novedosa (r=25, m=0,30)</t>
        </is>
      </c>
      <c r="B13" s="17" t="n">
        <v>0.9129</v>
      </c>
      <c r="C13" s="17" t="n">
        <v>0.6165</v>
      </c>
      <c r="D13" s="17" t="n">
        <v>0.9101</v>
      </c>
      <c r="E13" s="17" t="n">
        <v>0.8058</v>
      </c>
    </row>
    <row r="15">
      <c r="A15" s="7" t="inlineStr">
        <is>
          <t>Lectura: toda fusión supera al visible solo (+0,11 a +0,14 en mAP@0,5); el infrarrojo solo es la modalidad más fuerte (0,957) y ninguna fusión lo supera (peatón nocturno = térmico); entre las fusiones (banda 0,913–0,949) la propuesta queda en el extremo inferior (0,913). El realce que premian las métricas de actividad no mejora la detección: ambos criterios deben reportarse por separado (H3 no sostenida).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Clases complementarias en M3FD — un detector único VIS+IR</t>
        </is>
      </c>
    </row>
    <row r="2">
      <c r="A2" s="2" t="inlineStr">
        <is>
          <t>YOLOv8n entrenado con las imágenes de ambas modalidades mezcladas (4.000 imágenes, 40 épocas) y evaluado por inferencia sobre cada entrada. People domina en IR (térmica); Lamp solo se ve en VIS. En negrita el mejor por columna.</t>
        </is>
      </c>
    </row>
    <row r="4">
      <c r="A4" s="10" t="inlineStr">
        <is>
          <t>Entrada del detector</t>
        </is>
      </c>
      <c r="B4" s="10" t="inlineStr">
        <is>
          <t>AP@0,5 People ↑</t>
        </is>
      </c>
      <c r="C4" s="10" t="inlineStr">
        <is>
          <t>AP@0,5 Lamp ↑</t>
        </is>
      </c>
      <c r="D4" s="10" t="inlineStr">
        <is>
          <t>Promedio del par ↑</t>
        </is>
      </c>
      <c r="E4" s="10" t="inlineStr">
        <is>
          <t>mAP@0,5 (6 clases) ↑</t>
        </is>
      </c>
    </row>
    <row r="5">
      <c r="A5" s="9" t="inlineStr">
        <is>
          <t>VIS (solo)</t>
        </is>
      </c>
      <c r="B5" s="16" t="n">
        <v>0.178</v>
      </c>
      <c r="C5" s="17" t="n">
        <v>0.135</v>
      </c>
      <c r="D5" s="16" t="n">
        <v>0.157</v>
      </c>
      <c r="E5" s="17" t="n">
        <v>0.245</v>
      </c>
    </row>
    <row r="6">
      <c r="A6" s="9" t="inlineStr">
        <is>
          <t>IR (solo)</t>
        </is>
      </c>
      <c r="B6" s="17" t="n">
        <v>0.22</v>
      </c>
      <c r="C6" s="16" t="n">
        <v>0.018</v>
      </c>
      <c r="D6" s="16" t="n">
        <v>0.119</v>
      </c>
      <c r="E6" s="16" t="n">
        <v>0.191</v>
      </c>
    </row>
    <row r="7">
      <c r="A7" s="9" t="inlineStr">
        <is>
          <t>Pirámide de Laplace (LP)</t>
        </is>
      </c>
      <c r="B7" s="16" t="n">
        <v>0.147</v>
      </c>
      <c r="C7" s="16" t="n">
        <v>0.096</v>
      </c>
      <c r="D7" s="16" t="n">
        <v>0.122</v>
      </c>
      <c r="E7" s="16" t="n">
        <v>0.215</v>
      </c>
    </row>
    <row r="8">
      <c r="A8" s="9" t="inlineStr">
        <is>
          <t>Ratio Pyramid (RP)</t>
        </is>
      </c>
      <c r="B8" s="16" t="n">
        <v>0.198</v>
      </c>
      <c r="C8" s="16" t="n">
        <v>0.133</v>
      </c>
      <c r="D8" s="17" t="n">
        <v>0.165</v>
      </c>
      <c r="E8" s="16" t="n">
        <v>0.231</v>
      </c>
    </row>
    <row r="9">
      <c r="A9" s="9" t="inlineStr">
        <is>
          <t>Wavelet discreta (DWT)</t>
        </is>
      </c>
      <c r="B9" s="16" t="n">
        <v>0.165</v>
      </c>
      <c r="C9" s="16" t="n">
        <v>0.11</v>
      </c>
      <c r="D9" s="16" t="n">
        <v>0.137</v>
      </c>
      <c r="E9" s="16" t="n">
        <v>0.228</v>
      </c>
    </row>
    <row r="10">
      <c r="A10" s="9" t="inlineStr">
        <is>
          <t>Dual-Tree Complex Wavelet (DTCWT)</t>
        </is>
      </c>
      <c r="B10" s="16" t="n">
        <v>0.159</v>
      </c>
      <c r="C10" s="16" t="n">
        <v>0.114</v>
      </c>
      <c r="D10" s="16" t="n">
        <v>0.137</v>
      </c>
      <c r="E10" s="16" t="n">
        <v>0.229</v>
      </c>
    </row>
    <row r="11">
      <c r="A11" s="9" t="inlineStr">
        <is>
          <t>Curvelet (CVT)</t>
        </is>
      </c>
      <c r="B11" s="16" t="n">
        <v>0.167</v>
      </c>
      <c r="C11" s="16" t="n">
        <v>0.1</v>
      </c>
      <c r="D11" s="16" t="n">
        <v>0.133</v>
      </c>
      <c r="E11" s="16" t="n">
        <v>0.228</v>
      </c>
    </row>
    <row r="12">
      <c r="A12" s="9" t="inlineStr">
        <is>
          <t>Top-Hat clásico (r=5; m=1)</t>
        </is>
      </c>
      <c r="B12" s="16" t="n">
        <v>0.125</v>
      </c>
      <c r="C12" s="16" t="n">
        <v>0.054</v>
      </c>
      <c r="D12" s="16" t="n">
        <v>0.09</v>
      </c>
      <c r="E12" s="16" t="n">
        <v>0.198</v>
      </c>
    </row>
    <row r="13">
      <c r="A13" s="8" t="inlineStr">
        <is>
          <t>Propuesta Novedosa (r=25; m=0,30)</t>
        </is>
      </c>
      <c r="B13" s="17" t="n">
        <v>0.146</v>
      </c>
      <c r="C13" s="17" t="n">
        <v>0.101</v>
      </c>
      <c r="D13" s="17" t="n">
        <v>0.124</v>
      </c>
      <c r="E13" s="17" t="n">
        <v>0.211</v>
      </c>
    </row>
    <row r="15">
      <c r="A15" s="7" t="inlineStr">
        <is>
          <t>Lectura: complementariedad extrema (IR ciego a Lamp: 0,018; VIS débil en People). Las mejores fusiones superan en el promedio del par a ambas modalidades individuales: la Ratio Pyramid alcanza 0,165 frente a 0,157 del visible y 0,119 del infrarrojo. Todas las fusiones recuperan ambas clases en una sola imagen —algo que el infrarrojo no logra—, y la propuesta alcanza un promedio intermedio (0,124; People 0,146 y Lamp 0,101): el realce elevado no favorece al detector. Fuente: metrics_reports/detection_m3fd_map.csv.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2026-07-27T13:41:18Z</dcterms:created>
  <dcterms:modified xmlns:dcterms="http://purl.org/dc/terms/" xmlns:xsi="http://www.w3.org/2001/XMLSchema-instance" xsi:type="dcterms:W3CDTF">2026-07-27T13:41:19Z</dcterms:modified>
</cp:coreProperties>
</file>