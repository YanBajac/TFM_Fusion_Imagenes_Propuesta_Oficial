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en" sheetId="1" state="visible" r:id="rId2"/>
    <sheet name="PSO_Configuracion" sheetId="2" state="visible" r:id="rId3"/>
    <sheet name="PSO_Ejecucion" sheetId="3" state="visible" r:id="rId4"/>
    <sheet name="Tablas_por_Etapa" sheetId="4" state="visible" r:id="rId5"/>
    <sheet name="Benchmark_Completo" sheetId="5" state="visible" r:id="rId6"/>
    <sheet name="Propuesta_por_Imagen" sheetId="6" state="visible" r:id="rId7"/>
    <sheet name="Friedman" sheetId="7" state="visible" r:id="rId8"/>
    <sheet name="Wilcoxon" sheetId="8" state="visible" r:id="rId9"/>
    <sheet name="Deteccion_LLVIP" sheetId="9" state="visible" r:id="rId10"/>
    <sheet name="Ranking_Global" sheetId="10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<sst xmlns="http://schemas.openxmlformats.org/spreadsheetml/2006/main" count="452" uniqueCount="210">
  <si>
    <t xml:space="preserve">Fusión de imágenes IR/VIS mediante morfología matemática — Tablas de ejecución y métricas</t>
  </si>
  <si>
    <t xml:space="preserve">Maestría en Ciencias de Datos (UCOM) · Bazán &amp; Bajac · Director: D.Sc. Mello · 13/07/2026</t>
  </si>
  <si>
    <t xml:space="preserve">Propuesta central</t>
  </si>
  <si>
    <t xml:space="preserve">Fusión Top-Hat de UNA SOLA ESCALA (radio r): disco B_r + 4 líneas L_{r,θ} (0°, 45°, 90°, 135°, largo 2r+1). Respuestas lineales promediadas y confrontadas por MÁXIMO con la del disco; reconstrucción F = I_base + m·WTH − m·BTH (Bala et al. 2024).</t>
  </si>
  <si>
    <t xml:space="preserve">Optimización</t>
  </si>
  <si>
    <t xml:space="preserve">PSO de 30 partículas × 50 iteraciones sobre (r, m). Óptimo: r = 12, m = 0,127 (aptitud F = 1,9668).</t>
  </si>
  <si>
    <t xml:space="preserve">Dataset de calidad</t>
  </si>
  <si>
    <t xml:space="preserve">TNO Image Fusion Dataset — 20 pares VIS/IR co-registrados. 12 métricas sin referencia.</t>
  </si>
  <si>
    <t xml:space="preserve">Dataset de detección</t>
  </si>
  <si>
    <t xml:space="preserve">LLVIP (peatones nocturnos, etiquetado). YOLOv8n reentrenado 40 épocas por método, etiquetas idénticas.</t>
  </si>
  <si>
    <t xml:space="preserve">Resultados clave</t>
  </si>
  <si>
    <t xml:space="preserve">Propuesta: mejor Qabf (0,495) del benchmark, menor Nabf real (0,035), mayor SSIM no trivial (0,783). Detección: IR solo 0,957 mAP@0,5; propuesta 0,914; toda fusión supera al VIS solo (0,808).</t>
  </si>
  <si>
    <t xml:space="preserve">Contenido del libro</t>
  </si>
  <si>
    <t xml:space="preserve">PSO_Configuracion</t>
  </si>
  <si>
    <t xml:space="preserve">Parámetros de las 4 corridas de optimización (algoritmo, rangos, aptitud, óptimos)</t>
  </si>
  <si>
    <t xml:space="preserve">PSO_Ejecucion</t>
  </si>
  <si>
    <t xml:space="preserve">Historia iteración por iteración de cada corrida PSO (r, m, aptitud F)</t>
  </si>
  <si>
    <t xml:space="preserve">Tablas_por_Etapa</t>
  </si>
  <si>
    <t xml:space="preserve">Las 6 tablas del informe: métricas resueltas en cada etapa del proceso</t>
  </si>
  <si>
    <t xml:space="preserve">Benchmark_Completo</t>
  </si>
  <si>
    <t xml:space="preserve">Los 15 métodos × 12 métricas (promedio de los 20 pares TNO)</t>
  </si>
  <si>
    <t xml:space="preserve">Propuesta_por_Imagen</t>
  </si>
  <si>
    <t xml:space="preserve">Métricas de la propuesta en cada una de las 20 escenas, con promedio y desvío</t>
  </si>
  <si>
    <t xml:space="preserve">Friedman</t>
  </si>
  <si>
    <t xml:space="preserve">Test global por métrica (15 métodos, incluida la propuesta, × 20 imágenes)</t>
  </si>
  <si>
    <t xml:space="preserve">Wilcoxon</t>
  </si>
  <si>
    <t xml:space="preserve">36 contrastes pareados propuesta vs. rivales (Holm, rank-biserial)</t>
  </si>
  <si>
    <t xml:space="preserve">Deteccion_LLVIP</t>
  </si>
  <si>
    <t xml:space="preserve">Configuración del reentrenamiento YOLOv8 y mAP por método</t>
  </si>
  <si>
    <t xml:space="preserve">Ranking_Global</t>
  </si>
  <si>
    <t xml:space="preserve">Ranking global de los 15 métodos con la propuesta incluida (12 métricas)</t>
  </si>
  <si>
    <t xml:space="preserve">Proceso de optimización por enjambre de partículas (PSO)</t>
  </si>
  <si>
    <t xml:space="preserve">Cuatro corridas: dos exploraciones multiescala, una con aptitud de fidelidad, y la corrida definitiva de la propuesta.</t>
  </si>
  <si>
    <t xml:space="preserve">Reglas de actualización del enjambre</t>
  </si>
  <si>
    <t xml:space="preserve">v_k(t+1) = ω·v_k(t) + c1·r1·(pbest_k − x_k) + c2·r2·(gbest − x_k)      x_k(t+1) = x_k(t) + v_k(t+1)</t>
  </si>
  <si>
    <t xml:space="preserve">Inercia ω decreciente linealmente de 0,9 a 0,4 · c1 = c2 = 1,5 · r1, r2 ~ U(0,1) · posiciones recortadas al rango de búsqueda.</t>
  </si>
  <si>
    <t xml:space="preserve">Corrida</t>
  </si>
  <si>
    <t xml:space="preserve">Método optimizado</t>
  </si>
  <si>
    <t xml:space="preserve">Variables</t>
  </si>
  <si>
    <t xml:space="preserve">Rango de búsqueda</t>
  </si>
  <si>
    <t xml:space="preserve">Partículas</t>
  </si>
  <si>
    <t xml:space="preserve">Iteraciones</t>
  </si>
  <si>
    <t xml:space="preserve">Función de aptitud</t>
  </si>
  <si>
    <t xml:space="preserve">Evaluada sobre</t>
  </si>
  <si>
    <t xml:space="preserve">Óptimo hallado</t>
  </si>
  <si>
    <t xml:space="preserve">Aptitud F*</t>
  </si>
  <si>
    <t xml:space="preserve">Fidelidad (descartada)</t>
  </si>
  <si>
    <t xml:space="preserve">Top-Hat disco+líneas, 1 escala, ramas SUMADAS (esquema Bala literal)</t>
  </si>
  <si>
    <t xml:space="preserve">(r, m)</t>
  </si>
  <si>
    <t xml:space="preserve">r ∈ [1, 9] · m ∈ [0,3, 2,0]</t>
  </si>
  <si>
    <t xml:space="preserve">SSIM_avg + E_n + PSNR_n (fidelidad pura)</t>
  </si>
  <si>
    <t xml:space="preserve">10 escenas</t>
  </si>
  <si>
    <t xml:space="preserve">r = 1 · m = 0,30</t>
  </si>
  <si>
    <t xml:space="preserve">Multiescala cascada (descartada)</t>
  </si>
  <si>
    <t xml:space="preserve">Variante en cascada (dif. entre escalas)</t>
  </si>
  <si>
    <t xml:space="preserve">(n, r, m)</t>
  </si>
  <si>
    <t xml:space="preserve">n ∈ [2, 8] · r ∈ [1, 5] · m ∈ [0,05, 1,2]</t>
  </si>
  <si>
    <t xml:space="preserve">SSIM + Qabf + 0,5·SCD − Nabf</t>
  </si>
  <si>
    <t xml:space="preserve">subconjunto TNO</t>
  </si>
  <si>
    <t xml:space="preserve">n = 6 · r ≈ 2,89 · m = 0,10</t>
  </si>
  <si>
    <t xml:space="preserve">Multiescala sin cascada (descartada)</t>
  </si>
  <si>
    <t xml:space="preserve">Variante multiescala, agregación por máximo</t>
  </si>
  <si>
    <t xml:space="preserve">(n, m)</t>
  </si>
  <si>
    <t xml:space="preserve">n ∈ [1, 8] · m ∈ [0,05, 1,2]</t>
  </si>
  <si>
    <t xml:space="preserve">n = 8 · m = 0,120</t>
  </si>
  <si>
    <t xml:space="preserve">PROPUESTA DEFINITIVA</t>
  </si>
  <si>
    <t xml:space="preserve">Top-Hat disco+líneas, 1 escala, ramas por MÁXIMO</t>
  </si>
  <si>
    <t xml:space="preserve">r ∈ [1, 12] · m ∈ [0,05, 1,20]</t>
  </si>
  <si>
    <t xml:space="preserve">SSIM + Qabf + 0,5·SCD − Nabf (orientada a fusión)</t>
  </si>
  <si>
    <t xml:space="preserve">3 escenas repr. (1 de cada 7)</t>
  </si>
  <si>
    <t xml:space="preserve">r = 12 · m = 0,127</t>
  </si>
  <si>
    <t xml:space="preserve">Las aptitudes F* NO son comparables entre corridas: usan fórmulas y subconjuntos de escenas distintos. La comparación válida entre métodos es la de las 12 métricas sobre los 20 pares (hoja Benchmark_Completo).</t>
  </si>
  <si>
    <t xml:space="preserve">Escenas de evaluación de la corrida definitiva: APC_1_view_1_fk_06_005, Athena_APC_4_fennek01_005, Athena_soldier_behind_smoke_2_meting012-1500.</t>
  </si>
  <si>
    <t xml:space="preserve">Lección del proceso: la aptitud de fidelidad pura (corrida 1) premia no realzar y conduce al óptimo trivial r = 1; la aptitud orientada a fusión encuentra un óptimo útil (r = 12) en el extremo superior del rango.</t>
  </si>
  <si>
    <t xml:space="preserve">Ejecución del PSO — historia del mejor global por iteración</t>
  </si>
  <si>
    <t xml:space="preserve">En cada bloque: iteración t, posición del mejor global (r/n, m) y su aptitud F. La aptitud nunca decrece (elitismo del gbest).</t>
  </si>
  <si>
    <t xml:space="preserve">PROPUESTA DEFINITIVA (30 part. × 50 it.)</t>
  </si>
  <si>
    <t xml:space="preserve">Variante multiescala sin cascada (20 × 20)</t>
  </si>
  <si>
    <t xml:space="preserve">Variante en cascada (n, r, m)</t>
  </si>
  <si>
    <t xml:space="preserve">Aptitud de fidelidad (r=1 trivial)</t>
  </si>
  <si>
    <t xml:space="preserve">it</t>
  </si>
  <si>
    <t xml:space="preserve">r</t>
  </si>
  <si>
    <t xml:space="preserve">m</t>
  </si>
  <si>
    <t xml:space="preserve">F</t>
  </si>
  <si>
    <t xml:space="preserve">n</t>
  </si>
  <si>
    <t xml:space="preserve">Métricas resueltas en cada etapa del proceso</t>
  </si>
  <si>
    <t xml:space="preserve">Promedios sobre los 20 pares TNO. Negrita = mejor valor de la columna dentro de cada tabla (según la dirección de la métrica; Nabf se minimiza).</t>
  </si>
  <si>
    <t xml:space="preserve">Tabla 1 — Primeras fusiones Top-Hat (formas del SE)</t>
  </si>
  <si>
    <t xml:space="preserve">Método</t>
  </si>
  <si>
    <t xml:space="preserve">EN ↑</t>
  </si>
  <si>
    <t xml:space="preserve">SD ↑</t>
  </si>
  <si>
    <t xml:space="preserve">FE ↑</t>
  </si>
  <si>
    <t xml:space="preserve">MG ↑</t>
  </si>
  <si>
    <t xml:space="preserve">MI_vis ↑</t>
  </si>
  <si>
    <t xml:space="preserve">MI_ir ↑</t>
  </si>
  <si>
    <t xml:space="preserve">SF ↑</t>
  </si>
  <si>
    <t xml:space="preserve">Qabf ↑</t>
  </si>
  <si>
    <t xml:space="preserve">Nabf ↓</t>
  </si>
  <si>
    <t xml:space="preserve">SSIM ↑</t>
  </si>
  <si>
    <t xml:space="preserve">SCD ↑</t>
  </si>
  <si>
    <t xml:space="preserve">VIF ↑</t>
  </si>
  <si>
    <t xml:space="preserve">Torre Top-Hat disco L3</t>
  </si>
  <si>
    <t xml:space="preserve">Top-Hat cuadrado L3</t>
  </si>
  <si>
    <t xml:space="preserve">Top-Hat cruz L3</t>
  </si>
  <si>
    <t xml:space="preserve">Torre Top-Hat disco L5 (anterior)</t>
  </si>
  <si>
    <t xml:space="preserve">Tabla 2 — Efecto de la rama Black Top-Hat (descartada)</t>
  </si>
  <si>
    <t xml:space="preserve">Disco L5 + rama BTH</t>
  </si>
  <si>
    <t xml:space="preserve">Disco L3 + rama BTH</t>
  </si>
  <si>
    <t xml:space="preserve">Cuadrado L3 + rama BTH</t>
  </si>
  <si>
    <t xml:space="preserve">Cruz L3 + rama BTH</t>
  </si>
  <si>
    <t xml:space="preserve">Tabla 3 — Métodos clásicos de comparación</t>
  </si>
  <si>
    <t xml:space="preserve">Promedio</t>
  </si>
  <si>
    <t xml:space="preserve">Pirámide de Laplace</t>
  </si>
  <si>
    <t xml:space="preserve">Curvelet</t>
  </si>
  <si>
    <t xml:space="preserve">Tabla 4 — Exploraciones optimizadas por PSO (descartadas)</t>
  </si>
  <si>
    <t xml:space="preserve">Top-Hat PSO fidelidad (r=1, m=0,30)</t>
  </si>
  <si>
    <t xml:space="preserve">Variante multiescala en cascada (n=6)</t>
  </si>
  <si>
    <t xml:space="preserve">Variante multiescala sin cascada (n=8)</t>
  </si>
  <si>
    <t xml:space="preserve">Tabla 5 — Propuesta definitiva vs. exploraciones</t>
  </si>
  <si>
    <t xml:space="preserve">PROPUESTA NOVEDOSA (r=12, m=0,127)</t>
  </si>
  <si>
    <t xml:space="preserve">Tabla 6 — Benchmark final (propuesta vs. anterior y clásicos)</t>
  </si>
  <si>
    <t xml:space="preserve">Benchmark completo — 15 métodos × 12 métricas (promedio de 20 pares TNO)</t>
  </si>
  <si>
    <t xml:space="preserve">Negrita = mejor de la columna entre métodos no triviales (se excluye el Promedio).</t>
  </si>
  <si>
    <t xml:space="preserve">Propuesta novedosa (r=12, m=0,127) — métricas en cada escena del TNO</t>
  </si>
  <si>
    <t xml:space="preserve">Última fila: promedio y desvío estándar calculados con fórmulas de Excel; el promedio coincide con la fila de la propuesta en Benchmark_Completo.</t>
  </si>
  <si>
    <t xml:space="preserve">Escena</t>
  </si>
  <si>
    <t xml:space="preserve">EN</t>
  </si>
  <si>
    <t xml:space="preserve">SD</t>
  </si>
  <si>
    <t xml:space="preserve">FE</t>
  </si>
  <si>
    <t xml:space="preserve">MG</t>
  </si>
  <si>
    <t xml:space="preserve">MI_vis</t>
  </si>
  <si>
    <t xml:space="preserve">MI_ir</t>
  </si>
  <si>
    <t xml:space="preserve">SF</t>
  </si>
  <si>
    <t xml:space="preserve">Qabf</t>
  </si>
  <si>
    <t xml:space="preserve">Nabf</t>
  </si>
  <si>
    <t xml:space="preserve">SSIM</t>
  </si>
  <si>
    <t xml:space="preserve">SCD</t>
  </si>
  <si>
    <t xml:space="preserve">VIF</t>
  </si>
  <si>
    <t xml:space="preserve">APC_1_view_1_fk_06_005</t>
  </si>
  <si>
    <t xml:space="preserve">APC_1_view_2_fk_ref_01_005</t>
  </si>
  <si>
    <t xml:space="preserve">APC_1_view_3_fk_ref_02_005</t>
  </si>
  <si>
    <t xml:space="preserve">APC_3_view_1_fk_bar_06_005</t>
  </si>
  <si>
    <t xml:space="preserve">APC_3_view_2_fk_NL_01_005</t>
  </si>
  <si>
    <t xml:space="preserve">APC_3_view_3_fk_NL_05_005</t>
  </si>
  <si>
    <t xml:space="preserve">Athena_2_men_in_front_of_house_meting003</t>
  </si>
  <si>
    <t xml:space="preserve">Athena_APC_4_fennek01_005</t>
  </si>
  <si>
    <t xml:space="preserve">Athena_heather_IR_hei_vis_g</t>
  </si>
  <si>
    <t xml:space="preserve">Athena_heather_hei_vis</t>
  </si>
  <si>
    <t xml:space="preserve">Athena_helicopter_helib_011</t>
  </si>
  <si>
    <t xml:space="preserve">Athena_lake_lake</t>
  </si>
  <si>
    <t xml:space="preserve">Athena_man_in_doorway_maninhuis</t>
  </si>
  <si>
    <t xml:space="preserve">Athena_soldier_behind_smoke_1_meting012-1200</t>
  </si>
  <si>
    <t xml:space="preserve">Athena_soldier_behind_smoke_2_meting012-1500</t>
  </si>
  <si>
    <t xml:space="preserve">Athena_soldier_behind_smoke_3_meting012-1700</t>
  </si>
  <si>
    <t xml:space="preserve">Athena_soldier_in_trench_1_meting016</t>
  </si>
  <si>
    <t xml:space="preserve">Athena_soldier_in_trench_2_meting055</t>
  </si>
  <si>
    <t xml:space="preserve">Triclobs_Bosnia_R</t>
  </si>
  <si>
    <t xml:space="preserve">Triclobs_jeep_in_smoke_R</t>
  </si>
  <si>
    <t xml:space="preserve">PROMEDIO (20 escenas)</t>
  </si>
  <si>
    <t xml:space="preserve">DESVÍO ESTÁNDAR</t>
  </si>
  <si>
    <t xml:space="preserve">Test de Friedman por métrica (15 métodos, incluida la propuesta, × 20 imágenes)</t>
  </si>
  <si>
    <t xml:space="preserve">H0: no hay diferencias entre métodos. Significativa = p &lt; 0,05. Las 12 métricas rechazan H0.</t>
  </si>
  <si>
    <t xml:space="preserve">Métrica</t>
  </si>
  <si>
    <t xml:space="preserve">χ² de Friedman</t>
  </si>
  <si>
    <t xml:space="preserve">p-valor</t>
  </si>
  <si>
    <t xml:space="preserve">Significativa (α=0,05)</t>
  </si>
  <si>
    <t xml:space="preserve">Sí</t>
  </si>
  <si>
    <t xml:space="preserve">Wilcoxon pareado — propuesta definitiva vs. cada rival (20 imágenes)</t>
  </si>
  <si>
    <t xml:space="preserve">Corrección de Holm por familia de comparaciones. rb = tamaño de efecto rank-biserial (±1 = dominancia total). Resultado por fórmula: ≈ si p_holm ≥ 0,05; si no, mejor/peor según (media propuesta − media rival) × dirección.</t>
  </si>
  <si>
    <t xml:space="preserve">Rival</t>
  </si>
  <si>
    <t xml:space="preserve">Dirección</t>
  </si>
  <si>
    <t xml:space="preserve">Media propuesta</t>
  </si>
  <si>
    <t xml:space="preserve">Media rival</t>
  </si>
  <si>
    <t xml:space="preserve">p</t>
  </si>
  <si>
    <t xml:space="preserve">p (Holm)</t>
  </si>
  <si>
    <t xml:space="preserve">rb</t>
  </si>
  <si>
    <t xml:space="preserve">Resultado</t>
  </si>
  <si>
    <t xml:space="preserve">Torre disco L5 (anterior)</t>
  </si>
  <si>
    <t xml:space="preserve">Evaluación orientada a tarea — detección de peatones en LLVIP</t>
  </si>
  <si>
    <t xml:space="preserve">El mismo YOLOv8n se reentrena con cada versión fusionada; etiquetas idénticas → la diferencia de mAP aísla el efecto de la fusión.</t>
  </si>
  <si>
    <t xml:space="preserve">Configuración del reentrenamiento (ejecución del 13/07/2026, 14:51–16:25)</t>
  </si>
  <si>
    <t xml:space="preserve">Modelo</t>
  </si>
  <si>
    <t xml:space="preserve">YOLOv8n (yolov8n.pt)</t>
  </si>
  <si>
    <t xml:space="preserve">Épocas</t>
  </si>
  <si>
    <t xml:space="preserve">Resolución</t>
  </si>
  <si>
    <t xml:space="preserve">640 × 640</t>
  </si>
  <si>
    <t xml:space="preserve">Batch</t>
  </si>
  <si>
    <t xml:space="preserve">Semilla</t>
  </si>
  <si>
    <t xml:space="preserve">0 (determinista)</t>
  </si>
  <si>
    <t xml:space="preserve">Fusión de la propuesta</t>
  </si>
  <si>
    <t xml:space="preserve">fuse_optimal(vis, ir, r=12, m=0.127, mode='max') — una sola escala</t>
  </si>
  <si>
    <t xml:space="preserve">Duración por método</t>
  </si>
  <si>
    <t xml:space="preserve">≈ 13,5 a 16,3 min de entrenamiento + validación</t>
  </si>
  <si>
    <t xml:space="preserve">Resultados (validación LLVIP)</t>
  </si>
  <si>
    <t xml:space="preserve">Entrada del detector</t>
  </si>
  <si>
    <t xml:space="preserve">mAP@0,5 ↑</t>
  </si>
  <si>
    <t xml:space="preserve">mAP@0,5:0,95 ↑</t>
  </si>
  <si>
    <t xml:space="preserve">Precisión</t>
  </si>
  <si>
    <t xml:space="preserve">Recall</t>
  </si>
  <si>
    <t xml:space="preserve">Tiempo entren. (s)</t>
  </si>
  <si>
    <t xml:space="preserve">IR (solo)</t>
  </si>
  <si>
    <t xml:space="preserve">Torre Top-Hat disco L5</t>
  </si>
  <si>
    <t xml:space="preserve">PROPUESTA (r=12, m=0,127)</t>
  </si>
  <si>
    <t xml:space="preserve">Variante multiescala en cascada (corrida anterior)</t>
  </si>
  <si>
    <t xml:space="preserve">—</t>
  </si>
  <si>
    <t xml:space="preserve">VIS (solo)</t>
  </si>
  <si>
    <t xml:space="preserve">Lectura: en escenas nocturnas el peatón es esencialmente térmico → el IR solo obtiene el mejor mAP. Toda fusión supera al VIS solo (+0,10 o más en mAP@0,5). La fila 'variante multiescala' proviene de la corrida anterior y se conserva como referencia.</t>
  </si>
  <si>
    <t xml:space="preserve">Ranking global de los 15 métodos — incluida la propuesta (12 métricas, dirección respetada)</t>
  </si>
  <si>
    <t xml:space="preserve">Rango 1 = mejor en esa métrica. La columna final promedia los 12 rangos con fórmula. La propuesta ocupa el 6º lugar global: es 2ª-3ª en las métricas de calidad de fusión (Qabf, Nabf, SSIM, SCD, VIF) y la penalizan las métricas de actividad/contraste (EN, SD, FE, MG, SF), que premian el realce agresivo.</t>
  </si>
  <si>
    <t xml:space="preserve">Rank promedio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</si>
</sst>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00"/>
    <numFmt numFmtId="166" formatCode="0"/>
    <numFmt numFmtId="167" formatCode="0.##"/>
    <numFmt numFmtId="168" formatCode="0.000"/>
    <numFmt numFmtId="169" formatCode="0.0"/>
    <numFmt numFmtId="170" formatCode="0.0E+00"/>
    <numFmt numFmtId="171" formatCode="0.00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7.75" hidden="false" customHeight="true" outlineLevel="0" collapsed="false">
      <c r="A4" s="3" t="s">
        <v>2</v>
      </c>
      <c r="B4" s="4" t="s">
        <v>3</v>
      </c>
    </row>
    <row r="5" customFormat="false" ht="27.75" hidden="false" customHeight="true" outlineLevel="0" collapsed="false">
      <c r="A5" s="3" t="s">
        <v>4</v>
      </c>
      <c r="B5" s="4" t="s">
        <v>5</v>
      </c>
    </row>
    <row r="6" customFormat="false" ht="27.75" hidden="false" customHeight="true" outlineLevel="0" collapsed="false">
      <c r="A6" s="3" t="s">
        <v>6</v>
      </c>
      <c r="B6" s="4" t="s">
        <v>7</v>
      </c>
    </row>
    <row r="7" customFormat="false" ht="27.75" hidden="false" customHeight="true" outlineLevel="0" collapsed="false">
      <c r="A7" s="3" t="s">
        <v>8</v>
      </c>
      <c r="B7" s="4" t="s">
        <v>9</v>
      </c>
    </row>
    <row r="8" customFormat="false" ht="27.75" hidden="false" customHeight="true" outlineLevel="0" collapsed="false">
      <c r="A8" s="3" t="s">
        <v>10</v>
      </c>
      <c r="B8" s="4" t="s">
        <v>11</v>
      </c>
    </row>
    <row r="10" customFormat="false" ht="15" hidden="false" customHeight="false" outlineLevel="0" collapsed="false">
      <c r="A10" s="5" t="s">
        <v>12</v>
      </c>
    </row>
    <row r="11" customFormat="false" ht="15" hidden="false" customHeight="false" outlineLevel="0" collapsed="false">
      <c r="A11" s="3" t="s">
        <v>13</v>
      </c>
      <c r="B11" s="6" t="s">
        <v>14</v>
      </c>
    </row>
    <row r="12" customFormat="false" ht="15" hidden="false" customHeight="false" outlineLevel="0" collapsed="false">
      <c r="A12" s="3" t="s">
        <v>15</v>
      </c>
      <c r="B12" s="6" t="s">
        <v>16</v>
      </c>
    </row>
    <row r="13" customFormat="false" ht="15" hidden="false" customHeight="false" outlineLevel="0" collapsed="false">
      <c r="A13" s="3" t="s">
        <v>17</v>
      </c>
      <c r="B13" s="6" t="s">
        <v>18</v>
      </c>
    </row>
    <row r="14" customFormat="false" ht="15" hidden="false" customHeight="false" outlineLevel="0" collapsed="false">
      <c r="A14" s="3" t="s">
        <v>19</v>
      </c>
      <c r="B14" s="6" t="s">
        <v>20</v>
      </c>
    </row>
    <row r="15" customFormat="false" ht="15" hidden="false" customHeight="false" outlineLevel="0" collapsed="false">
      <c r="A15" s="3" t="s">
        <v>21</v>
      </c>
      <c r="B15" s="6" t="s">
        <v>22</v>
      </c>
    </row>
    <row r="16" customFormat="false" ht="15" hidden="false" customHeight="false" outlineLevel="0" collapsed="false">
      <c r="A16" s="3" t="s">
        <v>23</v>
      </c>
      <c r="B16" s="6" t="s">
        <v>24</v>
      </c>
    </row>
    <row r="17" customFormat="false" ht="15" hidden="false" customHeight="false" outlineLevel="0" collapsed="false">
      <c r="A17" s="3" t="s">
        <v>25</v>
      </c>
      <c r="B17" s="6" t="s">
        <v>26</v>
      </c>
    </row>
    <row r="18" customFormat="false" ht="15" hidden="false" customHeight="false" outlineLevel="0" collapsed="false">
      <c r="A18" s="3" t="s">
        <v>27</v>
      </c>
      <c r="B18" s="6" t="s">
        <v>28</v>
      </c>
    </row>
    <row r="19" customFormat="false" ht="15" hidden="false" customHeight="false" outlineLevel="0" collapsed="false">
      <c r="A19" s="3" t="s">
        <v>29</v>
      </c>
      <c r="B19" s="6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4" min="4" style="0" width="24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40"/>
    <col collapsed="false" customWidth="true" hidden="false" outlineLevel="0" max="9" min="8" style="0" width="22"/>
    <col collapsed="false" customWidth="true" hidden="false" outlineLevel="0" max="10" min="10" style="0" width="10"/>
  </cols>
  <sheetData>
    <row r="1" customFormat="false" ht="15" hidden="false" customHeight="false" outlineLevel="0" collapsed="false">
      <c r="A1" s="1" t="s">
        <v>31</v>
      </c>
    </row>
    <row r="2" customFormat="false" ht="15" hidden="false" customHeight="false" outlineLevel="0" collapsed="false">
      <c r="A2" s="2" t="s">
        <v>32</v>
      </c>
    </row>
    <row r="4" customFormat="false" ht="15" hidden="false" customHeight="false" outlineLevel="0" collapsed="false">
      <c r="A4" s="5" t="s">
        <v>33</v>
      </c>
    </row>
    <row r="5" customFormat="false" ht="15" hidden="false" customHeight="false" outlineLevel="0" collapsed="false">
      <c r="A5" s="7" t="s">
        <v>34</v>
      </c>
    </row>
    <row r="6" customFormat="false" ht="15" hidden="false" customHeight="false" outlineLevel="0" collapsed="false">
      <c r="A6" s="7" t="s">
        <v>35</v>
      </c>
    </row>
    <row r="8" customFormat="false" ht="15" hidden="false" customHeight="false" outlineLevel="0" collapsed="false">
      <c r="A8" s="8" t="s">
        <v>36</v>
      </c>
      <c r="B8" s="8" t="s">
        <v>37</v>
      </c>
      <c r="C8" s="8" t="s">
        <v>38</v>
      </c>
      <c r="D8" s="8" t="s">
        <v>39</v>
      </c>
      <c r="E8" s="8" t="s">
        <v>40</v>
      </c>
      <c r="F8" s="8" t="s">
        <v>41</v>
      </c>
      <c r="G8" s="8" t="s">
        <v>42</v>
      </c>
      <c r="H8" s="8" t="s">
        <v>43</v>
      </c>
      <c r="I8" s="8" t="s">
        <v>44</v>
      </c>
      <c r="J8" s="8" t="s">
        <v>45</v>
      </c>
    </row>
    <row r="9" customFormat="false" ht="25.5" hidden="false" customHeight="true" outlineLevel="0" collapsed="false">
      <c r="A9" s="9" t="s">
        <v>46</v>
      </c>
      <c r="B9" s="9" t="s">
        <v>47</v>
      </c>
      <c r="C9" s="10" t="s">
        <v>48</v>
      </c>
      <c r="D9" s="10" t="s">
        <v>49</v>
      </c>
      <c r="E9" s="10" t="n">
        <v>30</v>
      </c>
      <c r="F9" s="10" t="n">
        <v>30</v>
      </c>
      <c r="G9" s="9" t="s">
        <v>50</v>
      </c>
      <c r="H9" s="10" t="s">
        <v>51</v>
      </c>
      <c r="I9" s="10" t="s">
        <v>52</v>
      </c>
      <c r="J9" s="11" t="n">
        <v>1.98930471702255</v>
      </c>
    </row>
    <row r="10" customFormat="false" ht="25.5" hidden="false" customHeight="true" outlineLevel="0" collapsed="false">
      <c r="A10" s="9" t="s">
        <v>53</v>
      </c>
      <c r="B10" s="9" t="s">
        <v>54</v>
      </c>
      <c r="C10" s="10" t="s">
        <v>55</v>
      </c>
      <c r="D10" s="10" t="s">
        <v>56</v>
      </c>
      <c r="E10" s="10" t="n">
        <v>20</v>
      </c>
      <c r="F10" s="10" t="n">
        <v>8</v>
      </c>
      <c r="G10" s="9" t="s">
        <v>57</v>
      </c>
      <c r="H10" s="10" t="s">
        <v>58</v>
      </c>
      <c r="I10" s="10" t="s">
        <v>59</v>
      </c>
      <c r="J10" s="11" t="n">
        <v>2.02855931098286</v>
      </c>
    </row>
    <row r="11" customFormat="false" ht="25.5" hidden="false" customHeight="true" outlineLevel="0" collapsed="false">
      <c r="A11" s="9" t="s">
        <v>60</v>
      </c>
      <c r="B11" s="9" t="s">
        <v>61</v>
      </c>
      <c r="C11" s="10" t="s">
        <v>62</v>
      </c>
      <c r="D11" s="10" t="s">
        <v>63</v>
      </c>
      <c r="E11" s="10" t="n">
        <v>20</v>
      </c>
      <c r="F11" s="10" t="n">
        <v>20</v>
      </c>
      <c r="G11" s="9" t="s">
        <v>57</v>
      </c>
      <c r="H11" s="10" t="s">
        <v>58</v>
      </c>
      <c r="I11" s="10" t="s">
        <v>64</v>
      </c>
      <c r="J11" s="11" t="n">
        <v>2.01980325055335</v>
      </c>
    </row>
    <row r="12" customFormat="false" ht="25.5" hidden="false" customHeight="true" outlineLevel="0" collapsed="false">
      <c r="A12" s="12" t="s">
        <v>65</v>
      </c>
      <c r="B12" s="12" t="s">
        <v>66</v>
      </c>
      <c r="C12" s="13" t="s">
        <v>48</v>
      </c>
      <c r="D12" s="13" t="s">
        <v>67</v>
      </c>
      <c r="E12" s="13" t="n">
        <v>30</v>
      </c>
      <c r="F12" s="13" t="n">
        <v>50</v>
      </c>
      <c r="G12" s="12" t="s">
        <v>68</v>
      </c>
      <c r="H12" s="13" t="s">
        <v>69</v>
      </c>
      <c r="I12" s="13" t="s">
        <v>70</v>
      </c>
      <c r="J12" s="14" t="n">
        <v>1.96675223374276</v>
      </c>
    </row>
    <row r="14" customFormat="false" ht="15" hidden="false" customHeight="false" outlineLevel="0" collapsed="false">
      <c r="A14" s="7" t="s">
        <v>71</v>
      </c>
    </row>
    <row r="15" customFormat="false" ht="15" hidden="false" customHeight="false" outlineLevel="0" collapsed="false">
      <c r="A15" s="7" t="s">
        <v>72</v>
      </c>
    </row>
    <row r="16" customFormat="false" ht="15" hidden="false" customHeight="false" outlineLevel="0" collapsed="false">
      <c r="A16" s="7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4" min="1" style="0" width="9"/>
    <col collapsed="false" customWidth="true" hidden="false" outlineLevel="0" max="9" min="6" style="0" width="9"/>
    <col collapsed="false" customWidth="true" hidden="false" outlineLevel="0" max="15" min="11" style="0" width="9"/>
    <col collapsed="false" customWidth="true" hidden="false" outlineLevel="0" max="20" min="17" style="0" width="9"/>
  </cols>
  <sheetData>
    <row r="1" customFormat="false" ht="15" hidden="false" customHeight="false" outlineLevel="0" collapsed="false">
      <c r="A1" s="1" t="s">
        <v>74</v>
      </c>
    </row>
    <row r="2" customFormat="false" ht="15" hidden="false" customHeight="false" outlineLevel="0" collapsed="false">
      <c r="A2" s="2" t="s">
        <v>75</v>
      </c>
    </row>
    <row r="4" customFormat="false" ht="15" hidden="false" customHeight="false" outlineLevel="0" collapsed="false">
      <c r="A4" s="5" t="s">
        <v>76</v>
      </c>
      <c r="F4" s="5" t="s">
        <v>77</v>
      </c>
      <c r="K4" s="5" t="s">
        <v>78</v>
      </c>
      <c r="Q4" s="5" t="s">
        <v>79</v>
      </c>
    </row>
    <row r="5" customFormat="false" ht="15" hidden="false" customHeight="false" outlineLevel="0" collapsed="false">
      <c r="A5" s="8" t="s">
        <v>80</v>
      </c>
      <c r="B5" s="8" t="s">
        <v>81</v>
      </c>
      <c r="C5" s="8" t="s">
        <v>82</v>
      </c>
      <c r="D5" s="8" t="s">
        <v>83</v>
      </c>
      <c r="F5" s="8" t="s">
        <v>80</v>
      </c>
      <c r="G5" s="8" t="s">
        <v>84</v>
      </c>
      <c r="H5" s="8" t="s">
        <v>82</v>
      </c>
      <c r="I5" s="8" t="s">
        <v>83</v>
      </c>
      <c r="K5" s="8" t="s">
        <v>80</v>
      </c>
      <c r="L5" s="8" t="s">
        <v>84</v>
      </c>
      <c r="M5" s="8" t="s">
        <v>81</v>
      </c>
      <c r="N5" s="8" t="s">
        <v>82</v>
      </c>
      <c r="O5" s="8" t="s">
        <v>83</v>
      </c>
      <c r="Q5" s="8" t="s">
        <v>80</v>
      </c>
      <c r="R5" s="8" t="s">
        <v>81</v>
      </c>
      <c r="S5" s="8" t="s">
        <v>82</v>
      </c>
      <c r="T5" s="8" t="s">
        <v>83</v>
      </c>
    </row>
    <row r="6" customFormat="false" ht="15" hidden="false" customHeight="false" outlineLevel="0" collapsed="false">
      <c r="A6" s="15" t="n">
        <v>1</v>
      </c>
      <c r="B6" s="16" t="n">
        <v>8.51</v>
      </c>
      <c r="C6" s="11" t="n">
        <v>0.111894171622556</v>
      </c>
      <c r="D6" s="11" t="n">
        <v>1.95936639628836</v>
      </c>
      <c r="F6" s="15" t="n">
        <v>1</v>
      </c>
      <c r="G6" s="16" t="n">
        <v>6</v>
      </c>
      <c r="H6" s="11" t="n">
        <v>0.111894171622556</v>
      </c>
      <c r="I6" s="11" t="n">
        <v>2.00112752297794</v>
      </c>
      <c r="K6" s="15" t="n">
        <v>1</v>
      </c>
      <c r="L6" s="16" t="n">
        <v>4</v>
      </c>
      <c r="M6" s="16" t="n">
        <v>1.12</v>
      </c>
      <c r="N6" s="11" t="n">
        <v>0.116511635759508</v>
      </c>
      <c r="O6" s="11" t="n">
        <v>1.95437303285772</v>
      </c>
      <c r="Q6" s="15" t="n">
        <v>1</v>
      </c>
      <c r="R6" s="16" t="n">
        <v>3.84</v>
      </c>
      <c r="S6" s="11" t="n">
        <v>0.312515858576709</v>
      </c>
      <c r="T6" s="11" t="n">
        <v>1.8763780948619</v>
      </c>
    </row>
    <row r="7" customFormat="false" ht="15" hidden="false" customHeight="false" outlineLevel="0" collapsed="false">
      <c r="A7" s="15" t="n">
        <v>2</v>
      </c>
      <c r="B7" s="16" t="n">
        <v>10.02</v>
      </c>
      <c r="C7" s="11" t="n">
        <v>0.145180275678593</v>
      </c>
      <c r="D7" s="11" t="n">
        <v>1.96142799272009</v>
      </c>
      <c r="F7" s="15" t="n">
        <v>2</v>
      </c>
      <c r="G7" s="16" t="n">
        <v>6</v>
      </c>
      <c r="H7" s="11" t="n">
        <v>0.111894171622556</v>
      </c>
      <c r="I7" s="11" t="n">
        <v>2.00112752297794</v>
      </c>
      <c r="K7" s="15" t="n">
        <v>2</v>
      </c>
      <c r="L7" s="16" t="n">
        <v>4</v>
      </c>
      <c r="M7" s="16" t="n">
        <v>1.65</v>
      </c>
      <c r="N7" s="11" t="n">
        <v>0.1</v>
      </c>
      <c r="O7" s="11" t="n">
        <v>1.99413499842633</v>
      </c>
      <c r="Q7" s="15" t="n">
        <v>2</v>
      </c>
      <c r="R7" s="16" t="n">
        <v>1.51</v>
      </c>
      <c r="S7" s="11" t="n">
        <v>0.3</v>
      </c>
      <c r="T7" s="11" t="n">
        <v>1.93993462377726</v>
      </c>
    </row>
    <row r="8" customFormat="false" ht="15" hidden="false" customHeight="false" outlineLevel="0" collapsed="false">
      <c r="A8" s="15" t="n">
        <v>3</v>
      </c>
      <c r="B8" s="16" t="n">
        <v>9.99</v>
      </c>
      <c r="C8" s="11" t="n">
        <v>0.113320412639888</v>
      </c>
      <c r="D8" s="11" t="n">
        <v>1.96170271401519</v>
      </c>
      <c r="F8" s="15" t="n">
        <v>3</v>
      </c>
      <c r="G8" s="16" t="n">
        <v>8</v>
      </c>
      <c r="H8" s="11" t="n">
        <v>0.127238953375772</v>
      </c>
      <c r="I8" s="11" t="n">
        <v>2.01941927694464</v>
      </c>
      <c r="K8" s="15" t="n">
        <v>3</v>
      </c>
      <c r="L8" s="16" t="n">
        <v>4</v>
      </c>
      <c r="M8" s="16" t="n">
        <v>1.97</v>
      </c>
      <c r="N8" s="11" t="n">
        <v>0.1</v>
      </c>
      <c r="O8" s="11" t="n">
        <v>2.00593957667463</v>
      </c>
      <c r="Q8" s="15" t="n">
        <v>3</v>
      </c>
      <c r="R8" s="16" t="n">
        <v>1</v>
      </c>
      <c r="S8" s="11" t="n">
        <v>0.3</v>
      </c>
      <c r="T8" s="11" t="n">
        <v>1.98930471702255</v>
      </c>
    </row>
    <row r="9" customFormat="false" ht="15" hidden="false" customHeight="false" outlineLevel="0" collapsed="false">
      <c r="A9" s="15" t="n">
        <v>4</v>
      </c>
      <c r="B9" s="16" t="n">
        <v>12</v>
      </c>
      <c r="C9" s="11" t="n">
        <v>0.13831883256938</v>
      </c>
      <c r="D9" s="11" t="n">
        <v>1.96607501561797</v>
      </c>
      <c r="F9" s="15" t="n">
        <v>4</v>
      </c>
      <c r="G9" s="16" t="n">
        <v>8</v>
      </c>
      <c r="H9" s="11" t="n">
        <v>0.127238953375772</v>
      </c>
      <c r="I9" s="11" t="n">
        <v>2.01941927694464</v>
      </c>
      <c r="K9" s="15" t="n">
        <v>4</v>
      </c>
      <c r="L9" s="16" t="n">
        <v>5</v>
      </c>
      <c r="M9" s="16" t="n">
        <v>2.46</v>
      </c>
      <c r="N9" s="11" t="n">
        <v>0.1</v>
      </c>
      <c r="O9" s="11" t="n">
        <v>2.02406296126569</v>
      </c>
      <c r="Q9" s="15" t="n">
        <v>4</v>
      </c>
      <c r="R9" s="16" t="n">
        <v>1</v>
      </c>
      <c r="S9" s="11" t="n">
        <v>0.3</v>
      </c>
      <c r="T9" s="11" t="n">
        <v>1.98930471702255</v>
      </c>
    </row>
    <row r="10" customFormat="false" ht="15" hidden="false" customHeight="false" outlineLevel="0" collapsed="false">
      <c r="A10" s="15" t="n">
        <v>5</v>
      </c>
      <c r="B10" s="16" t="n">
        <v>12</v>
      </c>
      <c r="C10" s="11" t="n">
        <v>0.13831883256938</v>
      </c>
      <c r="D10" s="11" t="n">
        <v>1.96607501561797</v>
      </c>
      <c r="F10" s="15" t="n">
        <v>5</v>
      </c>
      <c r="G10" s="16" t="n">
        <v>8</v>
      </c>
      <c r="H10" s="11" t="n">
        <v>0.127238953375772</v>
      </c>
      <c r="I10" s="11" t="n">
        <v>2.01941927694464</v>
      </c>
      <c r="K10" s="15" t="n">
        <v>5</v>
      </c>
      <c r="L10" s="16" t="n">
        <v>5</v>
      </c>
      <c r="M10" s="16" t="n">
        <v>2.46</v>
      </c>
      <c r="N10" s="11" t="n">
        <v>0.1</v>
      </c>
      <c r="O10" s="11" t="n">
        <v>2.02406296126569</v>
      </c>
      <c r="Q10" s="15" t="n">
        <v>5</v>
      </c>
      <c r="R10" s="16" t="n">
        <v>1</v>
      </c>
      <c r="S10" s="11" t="n">
        <v>0.3</v>
      </c>
      <c r="T10" s="11" t="n">
        <v>1.98930471702255</v>
      </c>
    </row>
    <row r="11" customFormat="false" ht="15" hidden="false" customHeight="false" outlineLevel="0" collapsed="false">
      <c r="A11" s="15" t="n">
        <v>6</v>
      </c>
      <c r="B11" s="16" t="n">
        <v>12</v>
      </c>
      <c r="C11" s="11" t="n">
        <v>0.133121606175194</v>
      </c>
      <c r="D11" s="11" t="n">
        <v>1.96644842058169</v>
      </c>
      <c r="F11" s="15" t="n">
        <v>6</v>
      </c>
      <c r="G11" s="16" t="n">
        <v>8</v>
      </c>
      <c r="H11" s="11" t="n">
        <v>0.113984763120253</v>
      </c>
      <c r="I11" s="11" t="n">
        <v>2.01942892817129</v>
      </c>
      <c r="K11" s="15" t="n">
        <v>6</v>
      </c>
      <c r="L11" s="16" t="n">
        <v>6</v>
      </c>
      <c r="M11" s="16" t="n">
        <v>2.89</v>
      </c>
      <c r="N11" s="11" t="n">
        <v>0.1</v>
      </c>
      <c r="O11" s="11" t="n">
        <v>2.02855931098286</v>
      </c>
      <c r="Q11" s="15" t="n">
        <v>6</v>
      </c>
      <c r="R11" s="16" t="n">
        <v>1</v>
      </c>
      <c r="S11" s="11" t="n">
        <v>0.3</v>
      </c>
      <c r="T11" s="11" t="n">
        <v>1.98930471702255</v>
      </c>
    </row>
    <row r="12" customFormat="false" ht="15" hidden="false" customHeight="false" outlineLevel="0" collapsed="false">
      <c r="A12" s="15" t="n">
        <v>7</v>
      </c>
      <c r="B12" s="16" t="n">
        <v>12</v>
      </c>
      <c r="C12" s="11" t="n">
        <v>0.131055060850828</v>
      </c>
      <c r="D12" s="11" t="n">
        <v>1.9665864227764</v>
      </c>
      <c r="F12" s="15" t="n">
        <v>7</v>
      </c>
      <c r="G12" s="16" t="n">
        <v>8</v>
      </c>
      <c r="H12" s="11" t="n">
        <v>0.120168121854628</v>
      </c>
      <c r="I12" s="11" t="n">
        <v>2.01968514855259</v>
      </c>
      <c r="K12" s="15" t="n">
        <v>7</v>
      </c>
      <c r="L12" s="16" t="n">
        <v>6</v>
      </c>
      <c r="M12" s="16" t="n">
        <v>2.89</v>
      </c>
      <c r="N12" s="11" t="n">
        <v>0.1</v>
      </c>
      <c r="O12" s="11" t="n">
        <v>2.02855931098286</v>
      </c>
      <c r="Q12" s="15" t="n">
        <v>7</v>
      </c>
      <c r="R12" s="16" t="n">
        <v>1</v>
      </c>
      <c r="S12" s="11" t="n">
        <v>0.3</v>
      </c>
      <c r="T12" s="11" t="n">
        <v>1.98930471702255</v>
      </c>
    </row>
    <row r="13" customFormat="false" ht="15" hidden="false" customHeight="false" outlineLevel="0" collapsed="false">
      <c r="A13" s="15" t="n">
        <v>8</v>
      </c>
      <c r="B13" s="16" t="n">
        <v>12</v>
      </c>
      <c r="C13" s="11" t="n">
        <v>0.12871990188357</v>
      </c>
      <c r="D13" s="11" t="n">
        <v>1.96670316300841</v>
      </c>
      <c r="F13" s="15" t="n">
        <v>8</v>
      </c>
      <c r="G13" s="16" t="n">
        <v>8</v>
      </c>
      <c r="H13" s="11" t="n">
        <v>0.120168121854628</v>
      </c>
      <c r="I13" s="11" t="n">
        <v>2.01968514855259</v>
      </c>
      <c r="K13" s="15" t="n">
        <v>8</v>
      </c>
      <c r="L13" s="16" t="n">
        <v>6</v>
      </c>
      <c r="M13" s="16" t="n">
        <v>2.89</v>
      </c>
      <c r="N13" s="11" t="n">
        <v>0.1</v>
      </c>
      <c r="O13" s="11" t="n">
        <v>2.02855931098286</v>
      </c>
      <c r="Q13" s="15" t="n">
        <v>8</v>
      </c>
      <c r="R13" s="16" t="n">
        <v>1</v>
      </c>
      <c r="S13" s="11" t="n">
        <v>0.3</v>
      </c>
      <c r="T13" s="11" t="n">
        <v>1.98930471702255</v>
      </c>
    </row>
    <row r="14" customFormat="false" ht="15" hidden="false" customHeight="false" outlineLevel="0" collapsed="false">
      <c r="A14" s="15" t="n">
        <v>9</v>
      </c>
      <c r="B14" s="16" t="n">
        <v>12</v>
      </c>
      <c r="C14" s="11" t="n">
        <v>0.12871990188357</v>
      </c>
      <c r="D14" s="11" t="n">
        <v>1.96670316300841</v>
      </c>
      <c r="F14" s="15" t="n">
        <v>9</v>
      </c>
      <c r="G14" s="16" t="n">
        <v>8</v>
      </c>
      <c r="H14" s="11" t="n">
        <v>0.120168121854628</v>
      </c>
      <c r="I14" s="11" t="n">
        <v>2.01968514855259</v>
      </c>
      <c r="Q14" s="15" t="n">
        <v>9</v>
      </c>
      <c r="R14" s="16" t="n">
        <v>1</v>
      </c>
      <c r="S14" s="11" t="n">
        <v>0.3</v>
      </c>
      <c r="T14" s="11" t="n">
        <v>1.98930471702255</v>
      </c>
    </row>
    <row r="15" customFormat="false" ht="15" hidden="false" customHeight="false" outlineLevel="0" collapsed="false">
      <c r="A15" s="15" t="n">
        <v>10</v>
      </c>
      <c r="B15" s="16" t="n">
        <v>12</v>
      </c>
      <c r="C15" s="11" t="n">
        <v>0.12871990188357</v>
      </c>
      <c r="D15" s="11" t="n">
        <v>1.96670316300841</v>
      </c>
      <c r="F15" s="15" t="n">
        <v>10</v>
      </c>
      <c r="G15" s="16" t="n">
        <v>8</v>
      </c>
      <c r="H15" s="11" t="n">
        <v>0.12381330152167</v>
      </c>
      <c r="I15" s="11" t="n">
        <v>2.01971352464073</v>
      </c>
      <c r="Q15" s="15" t="n">
        <v>10</v>
      </c>
      <c r="R15" s="16" t="n">
        <v>1</v>
      </c>
      <c r="S15" s="11" t="n">
        <v>0.3</v>
      </c>
      <c r="T15" s="11" t="n">
        <v>1.98930471702255</v>
      </c>
    </row>
    <row r="16" customFormat="false" ht="15" hidden="false" customHeight="false" outlineLevel="0" collapsed="false">
      <c r="A16" s="15" t="n">
        <v>11</v>
      </c>
      <c r="B16" s="16" t="n">
        <v>12</v>
      </c>
      <c r="C16" s="11" t="n">
        <v>0.12871990188357</v>
      </c>
      <c r="D16" s="11" t="n">
        <v>1.96670316300841</v>
      </c>
      <c r="F16" s="15" t="n">
        <v>11</v>
      </c>
      <c r="G16" s="16" t="n">
        <v>8</v>
      </c>
      <c r="H16" s="11" t="n">
        <v>0.120680587545137</v>
      </c>
      <c r="I16" s="11" t="n">
        <v>2.01977473022929</v>
      </c>
      <c r="Q16" s="15" t="n">
        <v>11</v>
      </c>
      <c r="R16" s="16" t="n">
        <v>1</v>
      </c>
      <c r="S16" s="11" t="n">
        <v>0.3</v>
      </c>
      <c r="T16" s="11" t="n">
        <v>1.98930471702255</v>
      </c>
    </row>
    <row r="17" customFormat="false" ht="15" hidden="false" customHeight="false" outlineLevel="0" collapsed="false">
      <c r="A17" s="15" t="n">
        <v>12</v>
      </c>
      <c r="B17" s="16" t="n">
        <v>12</v>
      </c>
      <c r="C17" s="11" t="n">
        <v>0.126567204451399</v>
      </c>
      <c r="D17" s="11" t="n">
        <v>1.96670509884263</v>
      </c>
      <c r="F17" s="15" t="n">
        <v>12</v>
      </c>
      <c r="G17" s="16" t="n">
        <v>8</v>
      </c>
      <c r="H17" s="11" t="n">
        <v>0.120666801081011</v>
      </c>
      <c r="I17" s="11" t="n">
        <v>2.01979677340293</v>
      </c>
      <c r="Q17" s="15" t="n">
        <v>12</v>
      </c>
      <c r="R17" s="16" t="n">
        <v>1</v>
      </c>
      <c r="S17" s="11" t="n">
        <v>0.3</v>
      </c>
      <c r="T17" s="11" t="n">
        <v>1.98930471702255</v>
      </c>
    </row>
    <row r="18" customFormat="false" ht="15" hidden="false" customHeight="false" outlineLevel="0" collapsed="false">
      <c r="A18" s="15" t="n">
        <v>13</v>
      </c>
      <c r="B18" s="16" t="n">
        <v>12</v>
      </c>
      <c r="C18" s="11" t="n">
        <v>0.126567204451399</v>
      </c>
      <c r="D18" s="11" t="n">
        <v>1.96670509884263</v>
      </c>
      <c r="F18" s="15" t="n">
        <v>13</v>
      </c>
      <c r="G18" s="16" t="n">
        <v>8</v>
      </c>
      <c r="H18" s="11" t="n">
        <v>0.120666801081011</v>
      </c>
      <c r="I18" s="11" t="n">
        <v>2.01979677340293</v>
      </c>
      <c r="Q18" s="15" t="n">
        <v>13</v>
      </c>
      <c r="R18" s="16" t="n">
        <v>1</v>
      </c>
      <c r="S18" s="11" t="n">
        <v>0.3</v>
      </c>
      <c r="T18" s="11" t="n">
        <v>1.98930471702255</v>
      </c>
    </row>
    <row r="19" customFormat="false" ht="15" hidden="false" customHeight="false" outlineLevel="0" collapsed="false">
      <c r="A19" s="15" t="n">
        <v>14</v>
      </c>
      <c r="B19" s="16" t="n">
        <v>12</v>
      </c>
      <c r="C19" s="11" t="n">
        <v>0.126567204451399</v>
      </c>
      <c r="D19" s="11" t="n">
        <v>1.96670509884263</v>
      </c>
      <c r="F19" s="15" t="n">
        <v>14</v>
      </c>
      <c r="G19" s="16" t="n">
        <v>8</v>
      </c>
      <c r="H19" s="11" t="n">
        <v>0.120666801081011</v>
      </c>
      <c r="I19" s="11" t="n">
        <v>2.01979677340293</v>
      </c>
      <c r="Q19" s="15" t="n">
        <v>14</v>
      </c>
      <c r="R19" s="16" t="n">
        <v>1</v>
      </c>
      <c r="S19" s="11" t="n">
        <v>0.3</v>
      </c>
      <c r="T19" s="11" t="n">
        <v>1.98930471702255</v>
      </c>
    </row>
    <row r="20" customFormat="false" ht="15" hidden="false" customHeight="false" outlineLevel="0" collapsed="false">
      <c r="A20" s="15" t="n">
        <v>15</v>
      </c>
      <c r="B20" s="16" t="n">
        <v>12</v>
      </c>
      <c r="C20" s="11" t="n">
        <v>0.126567204451399</v>
      </c>
      <c r="D20" s="11" t="n">
        <v>1.96670509884263</v>
      </c>
      <c r="F20" s="15" t="n">
        <v>15</v>
      </c>
      <c r="G20" s="16" t="n">
        <v>8</v>
      </c>
      <c r="H20" s="11" t="n">
        <v>0.120666801081011</v>
      </c>
      <c r="I20" s="11" t="n">
        <v>2.01979677340293</v>
      </c>
      <c r="Q20" s="15" t="n">
        <v>15</v>
      </c>
      <c r="R20" s="16" t="n">
        <v>1</v>
      </c>
      <c r="S20" s="11" t="n">
        <v>0.3</v>
      </c>
      <c r="T20" s="11" t="n">
        <v>1.98930471702255</v>
      </c>
    </row>
    <row r="21" customFormat="false" ht="15" hidden="false" customHeight="false" outlineLevel="0" collapsed="false">
      <c r="A21" s="15" t="n">
        <v>16</v>
      </c>
      <c r="B21" s="16" t="n">
        <v>12</v>
      </c>
      <c r="C21" s="11" t="n">
        <v>0.126567204451399</v>
      </c>
      <c r="D21" s="11" t="n">
        <v>1.96670509884263</v>
      </c>
      <c r="F21" s="15" t="n">
        <v>16</v>
      </c>
      <c r="G21" s="16" t="n">
        <v>8</v>
      </c>
      <c r="H21" s="11" t="n">
        <v>0.120666801081011</v>
      </c>
      <c r="I21" s="11" t="n">
        <v>2.01979677340293</v>
      </c>
      <c r="Q21" s="15" t="n">
        <v>16</v>
      </c>
      <c r="R21" s="16" t="n">
        <v>1</v>
      </c>
      <c r="S21" s="11" t="n">
        <v>0.3</v>
      </c>
      <c r="T21" s="11" t="n">
        <v>1.98930471702255</v>
      </c>
    </row>
    <row r="22" customFormat="false" ht="15" hidden="false" customHeight="false" outlineLevel="0" collapsed="false">
      <c r="A22" s="15" t="n">
        <v>17</v>
      </c>
      <c r="B22" s="16" t="n">
        <v>12</v>
      </c>
      <c r="C22" s="11" t="n">
        <v>0.127633291135525</v>
      </c>
      <c r="D22" s="11" t="n">
        <v>1.96671251397256</v>
      </c>
      <c r="F22" s="15" t="n">
        <v>17</v>
      </c>
      <c r="G22" s="16" t="n">
        <v>8</v>
      </c>
      <c r="H22" s="11" t="n">
        <v>0.11966282042714</v>
      </c>
      <c r="I22" s="11" t="n">
        <v>2.01980325055335</v>
      </c>
      <c r="Q22" s="15" t="n">
        <v>17</v>
      </c>
      <c r="R22" s="16" t="n">
        <v>1</v>
      </c>
      <c r="S22" s="11" t="n">
        <v>0.3</v>
      </c>
      <c r="T22" s="11" t="n">
        <v>1.98930471702255</v>
      </c>
    </row>
    <row r="23" customFormat="false" ht="15" hidden="false" customHeight="false" outlineLevel="0" collapsed="false">
      <c r="A23" s="15" t="n">
        <v>18</v>
      </c>
      <c r="B23" s="16" t="n">
        <v>12</v>
      </c>
      <c r="C23" s="11" t="n">
        <v>0.127261926707994</v>
      </c>
      <c r="D23" s="11" t="n">
        <v>1.9667282875127</v>
      </c>
      <c r="F23" s="15" t="n">
        <v>18</v>
      </c>
      <c r="G23" s="16" t="n">
        <v>8</v>
      </c>
      <c r="H23" s="11" t="n">
        <v>0.11966282042714</v>
      </c>
      <c r="I23" s="11" t="n">
        <v>2.01980325055335</v>
      </c>
      <c r="Q23" s="15" t="n">
        <v>18</v>
      </c>
      <c r="R23" s="16" t="n">
        <v>1</v>
      </c>
      <c r="S23" s="11" t="n">
        <v>0.3</v>
      </c>
      <c r="T23" s="11" t="n">
        <v>1.98930471702255</v>
      </c>
    </row>
    <row r="24" customFormat="false" ht="15" hidden="false" customHeight="false" outlineLevel="0" collapsed="false">
      <c r="A24" s="15" t="n">
        <v>19</v>
      </c>
      <c r="B24" s="16" t="n">
        <v>12</v>
      </c>
      <c r="C24" s="11" t="n">
        <v>0.127261926707994</v>
      </c>
      <c r="D24" s="11" t="n">
        <v>1.9667282875127</v>
      </c>
      <c r="F24" s="15" t="n">
        <v>19</v>
      </c>
      <c r="G24" s="16" t="n">
        <v>8</v>
      </c>
      <c r="H24" s="11" t="n">
        <v>0.11966282042714</v>
      </c>
      <c r="I24" s="11" t="n">
        <v>2.01980325055335</v>
      </c>
      <c r="Q24" s="15" t="n">
        <v>19</v>
      </c>
      <c r="R24" s="16" t="n">
        <v>1</v>
      </c>
      <c r="S24" s="11" t="n">
        <v>0.3</v>
      </c>
      <c r="T24" s="11" t="n">
        <v>1.98930471702255</v>
      </c>
    </row>
    <row r="25" customFormat="false" ht="15" hidden="false" customHeight="false" outlineLevel="0" collapsed="false">
      <c r="A25" s="15" t="n">
        <v>20</v>
      </c>
      <c r="B25" s="16" t="n">
        <v>12</v>
      </c>
      <c r="C25" s="11" t="n">
        <v>0.127261926707994</v>
      </c>
      <c r="D25" s="11" t="n">
        <v>1.9667282875127</v>
      </c>
      <c r="F25" s="15" t="n">
        <v>20</v>
      </c>
      <c r="G25" s="16" t="n">
        <v>8</v>
      </c>
      <c r="H25" s="11" t="n">
        <v>0.11966282042714</v>
      </c>
      <c r="I25" s="11" t="n">
        <v>2.01980325055335</v>
      </c>
      <c r="Q25" s="15" t="n">
        <v>20</v>
      </c>
      <c r="R25" s="16" t="n">
        <v>1</v>
      </c>
      <c r="S25" s="11" t="n">
        <v>0.3</v>
      </c>
      <c r="T25" s="11" t="n">
        <v>1.98930471702255</v>
      </c>
    </row>
    <row r="26" customFormat="false" ht="15" hidden="false" customHeight="false" outlineLevel="0" collapsed="false">
      <c r="A26" s="15" t="n">
        <v>21</v>
      </c>
      <c r="B26" s="16" t="n">
        <v>12</v>
      </c>
      <c r="C26" s="11" t="n">
        <v>0.127261926707994</v>
      </c>
      <c r="D26" s="11" t="n">
        <v>1.9667282875127</v>
      </c>
      <c r="Q26" s="15" t="n">
        <v>21</v>
      </c>
      <c r="R26" s="16" t="n">
        <v>1</v>
      </c>
      <c r="S26" s="11" t="n">
        <v>0.3</v>
      </c>
      <c r="T26" s="11" t="n">
        <v>1.98930471702255</v>
      </c>
    </row>
    <row r="27" customFormat="false" ht="15" hidden="false" customHeight="false" outlineLevel="0" collapsed="false">
      <c r="A27" s="15" t="n">
        <v>22</v>
      </c>
      <c r="B27" s="16" t="n">
        <v>12</v>
      </c>
      <c r="C27" s="11" t="n">
        <v>0.127261926707994</v>
      </c>
      <c r="D27" s="11" t="n">
        <v>1.9667282875127</v>
      </c>
      <c r="Q27" s="15" t="n">
        <v>22</v>
      </c>
      <c r="R27" s="16" t="n">
        <v>1</v>
      </c>
      <c r="S27" s="11" t="n">
        <v>0.3</v>
      </c>
      <c r="T27" s="11" t="n">
        <v>1.98930471702255</v>
      </c>
    </row>
    <row r="28" customFormat="false" ht="15" hidden="false" customHeight="false" outlineLevel="0" collapsed="false">
      <c r="A28" s="15" t="n">
        <v>23</v>
      </c>
      <c r="B28" s="16" t="n">
        <v>12</v>
      </c>
      <c r="C28" s="11" t="n">
        <v>0.127261926707994</v>
      </c>
      <c r="D28" s="11" t="n">
        <v>1.9667282875127</v>
      </c>
      <c r="Q28" s="15" t="n">
        <v>23</v>
      </c>
      <c r="R28" s="16" t="n">
        <v>1</v>
      </c>
      <c r="S28" s="11" t="n">
        <v>0.3</v>
      </c>
      <c r="T28" s="11" t="n">
        <v>1.98930471702255</v>
      </c>
    </row>
    <row r="29" customFormat="false" ht="15" hidden="false" customHeight="false" outlineLevel="0" collapsed="false">
      <c r="A29" s="15" t="n">
        <v>24</v>
      </c>
      <c r="B29" s="16" t="n">
        <v>12</v>
      </c>
      <c r="C29" s="11" t="n">
        <v>0.127261926707994</v>
      </c>
      <c r="D29" s="11" t="n">
        <v>1.9667282875127</v>
      </c>
      <c r="Q29" s="15" t="n">
        <v>24</v>
      </c>
      <c r="R29" s="16" t="n">
        <v>1</v>
      </c>
      <c r="S29" s="11" t="n">
        <v>0.3</v>
      </c>
      <c r="T29" s="11" t="n">
        <v>1.98930471702255</v>
      </c>
    </row>
    <row r="30" customFormat="false" ht="15" hidden="false" customHeight="false" outlineLevel="0" collapsed="false">
      <c r="A30" s="15" t="n">
        <v>25</v>
      </c>
      <c r="B30" s="16" t="n">
        <v>12</v>
      </c>
      <c r="C30" s="11" t="n">
        <v>0.127261926707994</v>
      </c>
      <c r="D30" s="11" t="n">
        <v>1.9667282875127</v>
      </c>
      <c r="Q30" s="15" t="n">
        <v>25</v>
      </c>
      <c r="R30" s="16" t="n">
        <v>1</v>
      </c>
      <c r="S30" s="11" t="n">
        <v>0.3</v>
      </c>
      <c r="T30" s="11" t="n">
        <v>1.98930471702255</v>
      </c>
    </row>
    <row r="31" customFormat="false" ht="15" hidden="false" customHeight="false" outlineLevel="0" collapsed="false">
      <c r="A31" s="15" t="n">
        <v>26</v>
      </c>
      <c r="B31" s="16" t="n">
        <v>12</v>
      </c>
      <c r="C31" s="11" t="n">
        <v>0.127261926707994</v>
      </c>
      <c r="D31" s="11" t="n">
        <v>1.9667282875127</v>
      </c>
      <c r="Q31" s="15" t="n">
        <v>26</v>
      </c>
      <c r="R31" s="16" t="n">
        <v>1</v>
      </c>
      <c r="S31" s="11" t="n">
        <v>0.3</v>
      </c>
      <c r="T31" s="11" t="n">
        <v>1.98930471702255</v>
      </c>
    </row>
    <row r="32" customFormat="false" ht="15" hidden="false" customHeight="false" outlineLevel="0" collapsed="false">
      <c r="A32" s="15" t="n">
        <v>27</v>
      </c>
      <c r="B32" s="16" t="n">
        <v>12</v>
      </c>
      <c r="C32" s="11" t="n">
        <v>0.127261926707994</v>
      </c>
      <c r="D32" s="11" t="n">
        <v>1.9667282875127</v>
      </c>
      <c r="Q32" s="15" t="n">
        <v>27</v>
      </c>
      <c r="R32" s="16" t="n">
        <v>1</v>
      </c>
      <c r="S32" s="11" t="n">
        <v>0.3</v>
      </c>
      <c r="T32" s="11" t="n">
        <v>1.98930471702255</v>
      </c>
    </row>
    <row r="33" customFormat="false" ht="15" hidden="false" customHeight="false" outlineLevel="0" collapsed="false">
      <c r="A33" s="15" t="n">
        <v>28</v>
      </c>
      <c r="B33" s="16" t="n">
        <v>12</v>
      </c>
      <c r="C33" s="11" t="n">
        <v>0.127261926707994</v>
      </c>
      <c r="D33" s="11" t="n">
        <v>1.9667282875127</v>
      </c>
      <c r="Q33" s="15" t="n">
        <v>28</v>
      </c>
      <c r="R33" s="16" t="n">
        <v>1</v>
      </c>
      <c r="S33" s="11" t="n">
        <v>0.3</v>
      </c>
      <c r="T33" s="11" t="n">
        <v>1.98930471702255</v>
      </c>
    </row>
    <row r="34" customFormat="false" ht="15" hidden="false" customHeight="false" outlineLevel="0" collapsed="false">
      <c r="A34" s="15" t="n">
        <v>29</v>
      </c>
      <c r="B34" s="16" t="n">
        <v>12</v>
      </c>
      <c r="C34" s="11" t="n">
        <v>0.127261926707994</v>
      </c>
      <c r="D34" s="11" t="n">
        <v>1.9667282875127</v>
      </c>
      <c r="Q34" s="15" t="n">
        <v>29</v>
      </c>
      <c r="R34" s="16" t="n">
        <v>1</v>
      </c>
      <c r="S34" s="11" t="n">
        <v>0.3</v>
      </c>
      <c r="T34" s="11" t="n">
        <v>1.98930471702255</v>
      </c>
    </row>
    <row r="35" customFormat="false" ht="15" hidden="false" customHeight="false" outlineLevel="0" collapsed="false">
      <c r="A35" s="15" t="n">
        <v>30</v>
      </c>
      <c r="B35" s="16" t="n">
        <v>12</v>
      </c>
      <c r="C35" s="11" t="n">
        <v>0.127261926707994</v>
      </c>
      <c r="D35" s="11" t="n">
        <v>1.9667282875127</v>
      </c>
      <c r="Q35" s="15" t="n">
        <v>30</v>
      </c>
      <c r="R35" s="16" t="n">
        <v>1</v>
      </c>
      <c r="S35" s="11" t="n">
        <v>0.3</v>
      </c>
      <c r="T35" s="11" t="n">
        <v>1.98930471702255</v>
      </c>
    </row>
    <row r="36" customFormat="false" ht="15" hidden="false" customHeight="false" outlineLevel="0" collapsed="false">
      <c r="A36" s="15" t="n">
        <v>31</v>
      </c>
      <c r="B36" s="16" t="n">
        <v>12</v>
      </c>
      <c r="C36" s="11" t="n">
        <v>0.127261926707994</v>
      </c>
      <c r="D36" s="11" t="n">
        <v>1.9667282875127</v>
      </c>
    </row>
    <row r="37" customFormat="false" ht="15" hidden="false" customHeight="false" outlineLevel="0" collapsed="false">
      <c r="A37" s="15" t="n">
        <v>32</v>
      </c>
      <c r="B37" s="16" t="n">
        <v>12</v>
      </c>
      <c r="C37" s="11" t="n">
        <v>0.127261926707994</v>
      </c>
      <c r="D37" s="11" t="n">
        <v>1.9667282875127</v>
      </c>
    </row>
    <row r="38" customFormat="false" ht="15" hidden="false" customHeight="false" outlineLevel="0" collapsed="false">
      <c r="A38" s="15" t="n">
        <v>33</v>
      </c>
      <c r="B38" s="16" t="n">
        <v>12</v>
      </c>
      <c r="C38" s="11" t="n">
        <v>0.127261926707994</v>
      </c>
      <c r="D38" s="11" t="n">
        <v>1.9667282875127</v>
      </c>
    </row>
    <row r="39" customFormat="false" ht="15" hidden="false" customHeight="false" outlineLevel="0" collapsed="false">
      <c r="A39" s="15" t="n">
        <v>34</v>
      </c>
      <c r="B39" s="16" t="n">
        <v>12</v>
      </c>
      <c r="C39" s="11" t="n">
        <v>0.127261926707994</v>
      </c>
      <c r="D39" s="11" t="n">
        <v>1.9667282875127</v>
      </c>
    </row>
    <row r="40" customFormat="false" ht="15" hidden="false" customHeight="false" outlineLevel="0" collapsed="false">
      <c r="A40" s="15" t="n">
        <v>35</v>
      </c>
      <c r="B40" s="16" t="n">
        <v>12</v>
      </c>
      <c r="C40" s="11" t="n">
        <v>0.127261926707994</v>
      </c>
      <c r="D40" s="11" t="n">
        <v>1.9667282875127</v>
      </c>
    </row>
    <row r="41" customFormat="false" ht="15" hidden="false" customHeight="false" outlineLevel="0" collapsed="false">
      <c r="A41" s="15" t="n">
        <v>36</v>
      </c>
      <c r="B41" s="16" t="n">
        <v>12</v>
      </c>
      <c r="C41" s="11" t="n">
        <v>0.127261926707994</v>
      </c>
      <c r="D41" s="11" t="n">
        <v>1.9667282875127</v>
      </c>
    </row>
    <row r="42" customFormat="false" ht="15" hidden="false" customHeight="false" outlineLevel="0" collapsed="false">
      <c r="A42" s="15" t="n">
        <v>37</v>
      </c>
      <c r="B42" s="16" t="n">
        <v>12</v>
      </c>
      <c r="C42" s="11" t="n">
        <v>0.127491083475535</v>
      </c>
      <c r="D42" s="11" t="n">
        <v>1.96673374180855</v>
      </c>
    </row>
    <row r="43" customFormat="false" ht="15" hidden="false" customHeight="false" outlineLevel="0" collapsed="false">
      <c r="A43" s="15" t="n">
        <v>38</v>
      </c>
      <c r="B43" s="16" t="n">
        <v>12</v>
      </c>
      <c r="C43" s="11" t="n">
        <v>0.127491083475535</v>
      </c>
      <c r="D43" s="11" t="n">
        <v>1.96673374180855</v>
      </c>
    </row>
    <row r="44" customFormat="false" ht="15" hidden="false" customHeight="false" outlineLevel="0" collapsed="false">
      <c r="A44" s="15" t="n">
        <v>39</v>
      </c>
      <c r="B44" s="16" t="n">
        <v>12</v>
      </c>
      <c r="C44" s="11" t="n">
        <v>0.127430172945938</v>
      </c>
      <c r="D44" s="11" t="n">
        <v>1.96674490882346</v>
      </c>
    </row>
    <row r="45" customFormat="false" ht="15" hidden="false" customHeight="false" outlineLevel="0" collapsed="false">
      <c r="A45" s="15" t="n">
        <v>40</v>
      </c>
      <c r="B45" s="16" t="n">
        <v>12</v>
      </c>
      <c r="C45" s="11" t="n">
        <v>0.127430172945938</v>
      </c>
      <c r="D45" s="11" t="n">
        <v>1.96674490882346</v>
      </c>
    </row>
    <row r="46" customFormat="false" ht="15" hidden="false" customHeight="false" outlineLevel="0" collapsed="false">
      <c r="A46" s="15" t="n">
        <v>41</v>
      </c>
      <c r="B46" s="16" t="n">
        <v>12</v>
      </c>
      <c r="C46" s="11" t="n">
        <v>0.127430172945938</v>
      </c>
      <c r="D46" s="11" t="n">
        <v>1.96674490882346</v>
      </c>
    </row>
    <row r="47" customFormat="false" ht="15" hidden="false" customHeight="false" outlineLevel="0" collapsed="false">
      <c r="A47" s="15" t="n">
        <v>42</v>
      </c>
      <c r="B47" s="16" t="n">
        <v>12</v>
      </c>
      <c r="C47" s="11" t="n">
        <v>0.127430172945938</v>
      </c>
      <c r="D47" s="11" t="n">
        <v>1.96674490882346</v>
      </c>
    </row>
    <row r="48" customFormat="false" ht="15" hidden="false" customHeight="false" outlineLevel="0" collapsed="false">
      <c r="A48" s="15" t="n">
        <v>43</v>
      </c>
      <c r="B48" s="16" t="n">
        <v>12</v>
      </c>
      <c r="C48" s="11" t="n">
        <v>0.127430172945938</v>
      </c>
      <c r="D48" s="11" t="n">
        <v>1.96674490882346</v>
      </c>
    </row>
    <row r="49" customFormat="false" ht="15" hidden="false" customHeight="false" outlineLevel="0" collapsed="false">
      <c r="A49" s="15" t="n">
        <v>44</v>
      </c>
      <c r="B49" s="16" t="n">
        <v>12</v>
      </c>
      <c r="C49" s="11" t="n">
        <v>0.127422256229922</v>
      </c>
      <c r="D49" s="11" t="n">
        <v>1.96675223374276</v>
      </c>
    </row>
    <row r="50" customFormat="false" ht="15" hidden="false" customHeight="false" outlineLevel="0" collapsed="false">
      <c r="A50" s="15" t="n">
        <v>45</v>
      </c>
      <c r="B50" s="16" t="n">
        <v>12</v>
      </c>
      <c r="C50" s="11" t="n">
        <v>0.127422256229922</v>
      </c>
      <c r="D50" s="11" t="n">
        <v>1.96675223374276</v>
      </c>
    </row>
    <row r="51" customFormat="false" ht="15" hidden="false" customHeight="false" outlineLevel="0" collapsed="false">
      <c r="A51" s="15" t="n">
        <v>46</v>
      </c>
      <c r="B51" s="16" t="n">
        <v>12</v>
      </c>
      <c r="C51" s="11" t="n">
        <v>0.127422256229922</v>
      </c>
      <c r="D51" s="11" t="n">
        <v>1.96675223374276</v>
      </c>
    </row>
    <row r="52" customFormat="false" ht="15" hidden="false" customHeight="false" outlineLevel="0" collapsed="false">
      <c r="A52" s="15" t="n">
        <v>47</v>
      </c>
      <c r="B52" s="16" t="n">
        <v>12</v>
      </c>
      <c r="C52" s="11" t="n">
        <v>0.127422256229922</v>
      </c>
      <c r="D52" s="11" t="n">
        <v>1.96675223374276</v>
      </c>
    </row>
    <row r="53" customFormat="false" ht="15" hidden="false" customHeight="false" outlineLevel="0" collapsed="false">
      <c r="A53" s="15" t="n">
        <v>48</v>
      </c>
      <c r="B53" s="16" t="n">
        <v>12</v>
      </c>
      <c r="C53" s="11" t="n">
        <v>0.127422256229922</v>
      </c>
      <c r="D53" s="11" t="n">
        <v>1.96675223374276</v>
      </c>
    </row>
    <row r="54" customFormat="false" ht="15" hidden="false" customHeight="false" outlineLevel="0" collapsed="false">
      <c r="A54" s="15" t="n">
        <v>49</v>
      </c>
      <c r="B54" s="16" t="n">
        <v>12</v>
      </c>
      <c r="C54" s="11" t="n">
        <v>0.127422256229922</v>
      </c>
      <c r="D54" s="11" t="n">
        <v>1.96675223374276</v>
      </c>
    </row>
    <row r="55" customFormat="false" ht="15" hidden="false" customHeight="false" outlineLevel="0" collapsed="false">
      <c r="A55" s="15" t="n">
        <v>50</v>
      </c>
      <c r="B55" s="16" t="n">
        <v>12</v>
      </c>
      <c r="C55" s="11" t="n">
        <v>0.127422256229922</v>
      </c>
      <c r="D55" s="11" t="n">
        <v>1.96675223374276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38"/>
  </cols>
  <sheetData>
    <row r="1" customFormat="false" ht="15" hidden="false" customHeight="false" outlineLevel="0" collapsed="false">
      <c r="A1" s="1" t="s">
        <v>85</v>
      </c>
    </row>
    <row r="2" customFormat="false" ht="15" hidden="false" customHeight="false" outlineLevel="0" collapsed="false">
      <c r="A2" s="2" t="s">
        <v>86</v>
      </c>
    </row>
    <row r="4" customFormat="false" ht="15" hidden="false" customHeight="false" outlineLevel="0" collapsed="false">
      <c r="A4" s="5" t="s">
        <v>87</v>
      </c>
    </row>
    <row r="5" customFormat="false" ht="15" hidden="false" customHeight="false" outlineLevel="0" collapsed="false">
      <c r="A5" s="8" t="s">
        <v>88</v>
      </c>
      <c r="B5" s="8" t="s">
        <v>89</v>
      </c>
      <c r="C5" s="8" t="s">
        <v>90</v>
      </c>
      <c r="D5" s="8" t="s">
        <v>91</v>
      </c>
      <c r="E5" s="8" t="s">
        <v>92</v>
      </c>
      <c r="F5" s="8" t="s">
        <v>93</v>
      </c>
      <c r="G5" s="8" t="s">
        <v>94</v>
      </c>
      <c r="H5" s="8" t="s">
        <v>95</v>
      </c>
      <c r="I5" s="8" t="s">
        <v>96</v>
      </c>
      <c r="J5" s="8" t="s">
        <v>97</v>
      </c>
      <c r="K5" s="8" t="s">
        <v>98</v>
      </c>
      <c r="L5" s="8" t="s">
        <v>99</v>
      </c>
      <c r="M5" s="8" t="s">
        <v>100</v>
      </c>
    </row>
    <row r="6" customFormat="false" ht="15" hidden="false" customHeight="false" outlineLevel="0" collapsed="false">
      <c r="A6" s="9" t="s">
        <v>101</v>
      </c>
      <c r="B6" s="17" t="n">
        <v>6.6765</v>
      </c>
      <c r="C6" s="17" t="n">
        <v>0.1197</v>
      </c>
      <c r="D6" s="17" t="n">
        <v>1.0546</v>
      </c>
      <c r="E6" s="17" t="n">
        <v>0.023</v>
      </c>
      <c r="F6" s="18" t="n">
        <v>1.3954</v>
      </c>
      <c r="G6" s="17" t="n">
        <v>0.9182</v>
      </c>
      <c r="H6" s="17" t="n">
        <v>11.627</v>
      </c>
      <c r="I6" s="17" t="n">
        <v>0.4559</v>
      </c>
      <c r="J6" s="18" t="n">
        <v>0.1019</v>
      </c>
      <c r="K6" s="17" t="n">
        <v>0.7441</v>
      </c>
      <c r="L6" s="17" t="n">
        <v>1.3967</v>
      </c>
      <c r="M6" s="17" t="n">
        <v>0.3523</v>
      </c>
    </row>
    <row r="7" customFormat="false" ht="15" hidden="false" customHeight="false" outlineLevel="0" collapsed="false">
      <c r="A7" s="9" t="s">
        <v>102</v>
      </c>
      <c r="B7" s="17" t="n">
        <v>6.6901</v>
      </c>
      <c r="C7" s="17" t="n">
        <v>0.1209</v>
      </c>
      <c r="D7" s="17" t="n">
        <v>1.0568</v>
      </c>
      <c r="E7" s="17" t="n">
        <v>0.0231</v>
      </c>
      <c r="F7" s="17" t="n">
        <v>1.3906</v>
      </c>
      <c r="G7" s="17" t="n">
        <v>0.9145</v>
      </c>
      <c r="H7" s="17" t="n">
        <v>11.5761</v>
      </c>
      <c r="I7" s="17" t="n">
        <v>0.4392</v>
      </c>
      <c r="J7" s="17" t="n">
        <v>0.104</v>
      </c>
      <c r="K7" s="17" t="n">
        <v>0.7414</v>
      </c>
      <c r="L7" s="17" t="n">
        <v>1.4042</v>
      </c>
      <c r="M7" s="17" t="n">
        <v>0.3528</v>
      </c>
    </row>
    <row r="8" customFormat="false" ht="15" hidden="false" customHeight="false" outlineLevel="0" collapsed="false">
      <c r="A8" s="9" t="s">
        <v>103</v>
      </c>
      <c r="B8" s="17" t="n">
        <v>6.6632</v>
      </c>
      <c r="C8" s="17" t="n">
        <v>0.1187</v>
      </c>
      <c r="D8" s="17" t="n">
        <v>1.0525</v>
      </c>
      <c r="E8" s="17" t="n">
        <v>0.0226</v>
      </c>
      <c r="F8" s="17" t="n">
        <v>1.383</v>
      </c>
      <c r="G8" s="18" t="n">
        <v>0.9381</v>
      </c>
      <c r="H8" s="17" t="n">
        <v>11.4187</v>
      </c>
      <c r="I8" s="17" t="n">
        <v>0.4556</v>
      </c>
      <c r="J8" s="17" t="n">
        <v>0.1071</v>
      </c>
      <c r="K8" s="18" t="n">
        <v>0.7494</v>
      </c>
      <c r="L8" s="17" t="n">
        <v>1.3917</v>
      </c>
      <c r="M8" s="17" t="n">
        <v>0.344</v>
      </c>
    </row>
    <row r="9" customFormat="false" ht="15" hidden="false" customHeight="false" outlineLevel="0" collapsed="false">
      <c r="A9" s="9" t="s">
        <v>104</v>
      </c>
      <c r="B9" s="18" t="n">
        <v>6.7217</v>
      </c>
      <c r="C9" s="18" t="n">
        <v>0.1246</v>
      </c>
      <c r="D9" s="18" t="n">
        <v>1.0618</v>
      </c>
      <c r="E9" s="18" t="n">
        <v>0.0235</v>
      </c>
      <c r="F9" s="17" t="n">
        <v>1.3628</v>
      </c>
      <c r="G9" s="17" t="n">
        <v>0.914</v>
      </c>
      <c r="H9" s="18" t="n">
        <v>11.9234</v>
      </c>
      <c r="I9" s="18" t="n">
        <v>0.4583</v>
      </c>
      <c r="J9" s="17" t="n">
        <v>0.1168</v>
      </c>
      <c r="K9" s="17" t="n">
        <v>0.7392</v>
      </c>
      <c r="L9" s="18" t="n">
        <v>1.4302</v>
      </c>
      <c r="M9" s="18" t="n">
        <v>0.3564</v>
      </c>
    </row>
    <row r="11" customFormat="false" ht="15" hidden="false" customHeight="false" outlineLevel="0" collapsed="false">
      <c r="A11" s="5" t="s">
        <v>105</v>
      </c>
    </row>
    <row r="12" customFormat="false" ht="15" hidden="false" customHeight="false" outlineLevel="0" collapsed="false">
      <c r="A12" s="8" t="s">
        <v>88</v>
      </c>
      <c r="B12" s="8" t="s">
        <v>89</v>
      </c>
      <c r="C12" s="8" t="s">
        <v>90</v>
      </c>
      <c r="D12" s="8" t="s">
        <v>91</v>
      </c>
      <c r="E12" s="8" t="s">
        <v>92</v>
      </c>
      <c r="F12" s="8" t="s">
        <v>93</v>
      </c>
      <c r="G12" s="8" t="s">
        <v>94</v>
      </c>
      <c r="H12" s="8" t="s">
        <v>95</v>
      </c>
      <c r="I12" s="8" t="s">
        <v>96</v>
      </c>
      <c r="J12" s="8" t="s">
        <v>97</v>
      </c>
      <c r="K12" s="8" t="s">
        <v>98</v>
      </c>
      <c r="L12" s="8" t="s">
        <v>99</v>
      </c>
      <c r="M12" s="8" t="s">
        <v>100</v>
      </c>
    </row>
    <row r="13" customFormat="false" ht="15" hidden="false" customHeight="false" outlineLevel="0" collapsed="false">
      <c r="A13" s="9" t="s">
        <v>104</v>
      </c>
      <c r="B13" s="17" t="n">
        <v>6.7217</v>
      </c>
      <c r="C13" s="17" t="n">
        <v>0.1246</v>
      </c>
      <c r="D13" s="17" t="n">
        <v>1.0618</v>
      </c>
      <c r="E13" s="17" t="n">
        <v>0.0235</v>
      </c>
      <c r="F13" s="17" t="n">
        <v>1.3628</v>
      </c>
      <c r="G13" s="17" t="n">
        <v>0.914</v>
      </c>
      <c r="H13" s="17" t="n">
        <v>11.9234</v>
      </c>
      <c r="I13" s="17" t="n">
        <v>0.4583</v>
      </c>
      <c r="J13" s="17" t="n">
        <v>0.1168</v>
      </c>
      <c r="K13" s="17" t="n">
        <v>0.7392</v>
      </c>
      <c r="L13" s="17" t="n">
        <v>1.4302</v>
      </c>
      <c r="M13" s="17" t="n">
        <v>0.3564</v>
      </c>
    </row>
    <row r="14" customFormat="false" ht="15" hidden="false" customHeight="false" outlineLevel="0" collapsed="false">
      <c r="A14" s="9" t="s">
        <v>106</v>
      </c>
      <c r="B14" s="17" t="n">
        <v>7.1065</v>
      </c>
      <c r="C14" s="17" t="n">
        <v>0.161</v>
      </c>
      <c r="D14" s="17" t="n">
        <v>1.124</v>
      </c>
      <c r="E14" s="17" t="n">
        <v>0.0473</v>
      </c>
      <c r="F14" s="17" t="n">
        <v>0.7729</v>
      </c>
      <c r="G14" s="17" t="n">
        <v>0.5949</v>
      </c>
      <c r="H14" s="17" t="n">
        <v>22.9396</v>
      </c>
      <c r="I14" s="17" t="n">
        <v>0.2913</v>
      </c>
      <c r="J14" s="17" t="n">
        <v>0.5745</v>
      </c>
      <c r="K14" s="17" t="n">
        <v>0.5338</v>
      </c>
      <c r="L14" s="17" t="n">
        <v>1.2791</v>
      </c>
      <c r="M14" s="17" t="n">
        <v>0.2977</v>
      </c>
    </row>
    <row r="15" customFormat="false" ht="15" hidden="false" customHeight="false" outlineLevel="0" collapsed="false">
      <c r="A15" s="9" t="s">
        <v>107</v>
      </c>
      <c r="B15" s="17" t="n">
        <v>6.9721</v>
      </c>
      <c r="C15" s="17" t="n">
        <v>0.143</v>
      </c>
      <c r="D15" s="17" t="n">
        <v>1.1022</v>
      </c>
      <c r="E15" s="17" t="n">
        <v>0.0444</v>
      </c>
      <c r="F15" s="17" t="n">
        <v>0.8758</v>
      </c>
      <c r="G15" s="17" t="n">
        <v>0.6181</v>
      </c>
      <c r="H15" s="17" t="n">
        <v>21.7436</v>
      </c>
      <c r="I15" s="17" t="n">
        <v>0.3259</v>
      </c>
      <c r="J15" s="17" t="n">
        <v>0.5368</v>
      </c>
      <c r="K15" s="17" t="n">
        <v>0.5765</v>
      </c>
      <c r="L15" s="17" t="n">
        <v>1.3408</v>
      </c>
      <c r="M15" s="17" t="n">
        <v>0.3137</v>
      </c>
    </row>
    <row r="16" customFormat="false" ht="15" hidden="false" customHeight="false" outlineLevel="0" collapsed="false">
      <c r="A16" s="9" t="s">
        <v>108</v>
      </c>
      <c r="B16" s="17" t="n">
        <v>6.997</v>
      </c>
      <c r="C16" s="17" t="n">
        <v>0.1459</v>
      </c>
      <c r="D16" s="17" t="n">
        <v>1.1062</v>
      </c>
      <c r="E16" s="17" t="n">
        <v>0.044</v>
      </c>
      <c r="F16" s="17" t="n">
        <v>0.8578</v>
      </c>
      <c r="G16" s="17" t="n">
        <v>0.6123</v>
      </c>
      <c r="H16" s="17" t="n">
        <v>21.3473</v>
      </c>
      <c r="I16" s="17" t="n">
        <v>0.3287</v>
      </c>
      <c r="J16" s="17" t="n">
        <v>0.5319</v>
      </c>
      <c r="K16" s="17" t="n">
        <v>0.575</v>
      </c>
      <c r="L16" s="17" t="n">
        <v>1.3386</v>
      </c>
      <c r="M16" s="17" t="n">
        <v>0.3182</v>
      </c>
    </row>
    <row r="17" customFormat="false" ht="15" hidden="false" customHeight="false" outlineLevel="0" collapsed="false">
      <c r="A17" s="9" t="s">
        <v>109</v>
      </c>
      <c r="B17" s="17" t="n">
        <v>6.9762</v>
      </c>
      <c r="C17" s="17" t="n">
        <v>0.1433</v>
      </c>
      <c r="D17" s="17" t="n">
        <v>1.1031</v>
      </c>
      <c r="E17" s="17" t="n">
        <v>0.0444</v>
      </c>
      <c r="F17" s="17" t="n">
        <v>0.8859</v>
      </c>
      <c r="G17" s="17" t="n">
        <v>0.6336</v>
      </c>
      <c r="H17" s="17" t="n">
        <v>21.8316</v>
      </c>
      <c r="I17" s="17" t="n">
        <v>0.3109</v>
      </c>
      <c r="J17" s="17" t="n">
        <v>0.5369</v>
      </c>
      <c r="K17" s="17" t="n">
        <v>0.5724</v>
      </c>
      <c r="L17" s="17" t="n">
        <v>1.3378</v>
      </c>
      <c r="M17" s="17" t="n">
        <v>0.3004</v>
      </c>
    </row>
    <row r="19" customFormat="false" ht="15" hidden="false" customHeight="false" outlineLevel="0" collapsed="false">
      <c r="A19" s="5" t="s">
        <v>110</v>
      </c>
    </row>
    <row r="20" customFormat="false" ht="15" hidden="false" customHeight="false" outlineLevel="0" collapsed="false">
      <c r="A20" s="8" t="s">
        <v>88</v>
      </c>
      <c r="B20" s="8" t="s">
        <v>89</v>
      </c>
      <c r="C20" s="8" t="s">
        <v>90</v>
      </c>
      <c r="D20" s="8" t="s">
        <v>91</v>
      </c>
      <c r="E20" s="8" t="s">
        <v>92</v>
      </c>
      <c r="F20" s="8" t="s">
        <v>93</v>
      </c>
      <c r="G20" s="8" t="s">
        <v>94</v>
      </c>
      <c r="H20" s="8" t="s">
        <v>95</v>
      </c>
      <c r="I20" s="8" t="s">
        <v>96</v>
      </c>
      <c r="J20" s="8" t="s">
        <v>97</v>
      </c>
      <c r="K20" s="8" t="s">
        <v>98</v>
      </c>
      <c r="L20" s="8" t="s">
        <v>99</v>
      </c>
      <c r="M20" s="8" t="s">
        <v>100</v>
      </c>
    </row>
    <row r="21" customFormat="false" ht="15" hidden="false" customHeight="false" outlineLevel="0" collapsed="false">
      <c r="A21" s="9" t="s">
        <v>111</v>
      </c>
      <c r="B21" s="17" t="n">
        <v>6.5178</v>
      </c>
      <c r="C21" s="17" t="n">
        <v>0.1092</v>
      </c>
      <c r="D21" s="17" t="n">
        <v>1.029</v>
      </c>
      <c r="E21" s="17" t="n">
        <v>0.0144</v>
      </c>
      <c r="F21" s="17" t="n">
        <v>1.5119</v>
      </c>
      <c r="G21" s="17" t="n">
        <v>1.0637</v>
      </c>
      <c r="H21" s="17" t="n">
        <v>7.112</v>
      </c>
      <c r="I21" s="17" t="n">
        <v>0.3098</v>
      </c>
      <c r="J21" s="18" t="n">
        <v>0</v>
      </c>
      <c r="K21" s="18" t="n">
        <v>0.7921</v>
      </c>
      <c r="L21" s="18" t="n">
        <v>1.3247</v>
      </c>
      <c r="M21" s="17" t="n">
        <v>0.3305</v>
      </c>
    </row>
    <row r="22" customFormat="false" ht="15" hidden="false" customHeight="false" outlineLevel="0" collapsed="false">
      <c r="A22" s="9" t="s">
        <v>112</v>
      </c>
      <c r="B22" s="18" t="n">
        <v>6.835</v>
      </c>
      <c r="C22" s="18" t="n">
        <v>0.1548</v>
      </c>
      <c r="D22" s="18" t="n">
        <v>1.0792</v>
      </c>
      <c r="E22" s="17" t="n">
        <v>0.0248</v>
      </c>
      <c r="F22" s="18" t="n">
        <v>2.1183</v>
      </c>
      <c r="G22" s="18" t="n">
        <v>1.0717</v>
      </c>
      <c r="H22" s="17" t="n">
        <v>13.04</v>
      </c>
      <c r="I22" s="17" t="n">
        <v>0.4419</v>
      </c>
      <c r="J22" s="17" t="n">
        <v>0.108</v>
      </c>
      <c r="K22" s="17" t="n">
        <v>0.7208</v>
      </c>
      <c r="L22" s="17" t="n">
        <v>1.3217</v>
      </c>
      <c r="M22" s="18" t="n">
        <v>0.4101</v>
      </c>
    </row>
    <row r="23" customFormat="false" ht="15" hidden="false" customHeight="false" outlineLevel="0" collapsed="false">
      <c r="A23" s="9" t="s">
        <v>113</v>
      </c>
      <c r="B23" s="17" t="n">
        <v>6.6645</v>
      </c>
      <c r="C23" s="17" t="n">
        <v>0.1167</v>
      </c>
      <c r="D23" s="17" t="n">
        <v>1.0529</v>
      </c>
      <c r="E23" s="18" t="n">
        <v>0.0256</v>
      </c>
      <c r="F23" s="17" t="n">
        <v>1.3038</v>
      </c>
      <c r="G23" s="17" t="n">
        <v>0.8843</v>
      </c>
      <c r="H23" s="18" t="n">
        <v>13.151</v>
      </c>
      <c r="I23" s="18" t="n">
        <v>0.4762</v>
      </c>
      <c r="J23" s="17" t="n">
        <v>0.1915</v>
      </c>
      <c r="K23" s="17" t="n">
        <v>0.7305</v>
      </c>
      <c r="L23" s="17" t="n">
        <v>1.3208</v>
      </c>
      <c r="M23" s="17" t="n">
        <v>0.3067</v>
      </c>
    </row>
    <row r="25" customFormat="false" ht="15" hidden="false" customHeight="false" outlineLevel="0" collapsed="false">
      <c r="A25" s="5" t="s">
        <v>114</v>
      </c>
    </row>
    <row r="26" customFormat="false" ht="15" hidden="false" customHeight="false" outlineLevel="0" collapsed="false">
      <c r="A26" s="8" t="s">
        <v>88</v>
      </c>
      <c r="B26" s="8" t="s">
        <v>89</v>
      </c>
      <c r="C26" s="8" t="s">
        <v>90</v>
      </c>
      <c r="D26" s="8" t="s">
        <v>91</v>
      </c>
      <c r="E26" s="8" t="s">
        <v>92</v>
      </c>
      <c r="F26" s="8" t="s">
        <v>93</v>
      </c>
      <c r="G26" s="8" t="s">
        <v>94</v>
      </c>
      <c r="H26" s="8" t="s">
        <v>95</v>
      </c>
      <c r="I26" s="8" t="s">
        <v>96</v>
      </c>
      <c r="J26" s="8" t="s">
        <v>97</v>
      </c>
      <c r="K26" s="8" t="s">
        <v>98</v>
      </c>
      <c r="L26" s="8" t="s">
        <v>99</v>
      </c>
      <c r="M26" s="8" t="s">
        <v>100</v>
      </c>
    </row>
    <row r="27" customFormat="false" ht="15" hidden="false" customHeight="false" outlineLevel="0" collapsed="false">
      <c r="A27" s="9" t="s">
        <v>115</v>
      </c>
      <c r="B27" s="17" t="n">
        <v>6.5981</v>
      </c>
      <c r="C27" s="17" t="n">
        <v>0.1129</v>
      </c>
      <c r="D27" s="17" t="n">
        <v>1.0423</v>
      </c>
      <c r="E27" s="18" t="n">
        <v>0.0232</v>
      </c>
      <c r="F27" s="17" t="n">
        <v>1.3681</v>
      </c>
      <c r="G27" s="17" t="n">
        <v>0.9316</v>
      </c>
      <c r="H27" s="18" t="n">
        <v>12.403</v>
      </c>
      <c r="I27" s="17" t="n">
        <v>0.4478</v>
      </c>
      <c r="J27" s="17" t="n">
        <v>0.1211</v>
      </c>
      <c r="K27" s="17" t="n">
        <v>0.7607</v>
      </c>
      <c r="L27" s="17" t="n">
        <v>1.3528</v>
      </c>
      <c r="M27" s="17" t="n">
        <v>0.3219</v>
      </c>
    </row>
    <row r="28" customFormat="false" ht="15" hidden="false" customHeight="false" outlineLevel="0" collapsed="false">
      <c r="A28" s="9" t="s">
        <v>116</v>
      </c>
      <c r="B28" s="18" t="n">
        <v>6.6627</v>
      </c>
      <c r="C28" s="18" t="n">
        <v>0.1193</v>
      </c>
      <c r="D28" s="18" t="n">
        <v>1.0522</v>
      </c>
      <c r="E28" s="17" t="n">
        <v>0.0209</v>
      </c>
      <c r="F28" s="17" t="n">
        <v>1.3101</v>
      </c>
      <c r="G28" s="17" t="n">
        <v>0.8768</v>
      </c>
      <c r="H28" s="17" t="n">
        <v>10.6922</v>
      </c>
      <c r="I28" s="18" t="n">
        <v>0.5137</v>
      </c>
      <c r="J28" s="17" t="n">
        <v>0.0654</v>
      </c>
      <c r="K28" s="17" t="n">
        <v>0.7747</v>
      </c>
      <c r="L28" s="18" t="n">
        <v>1.4532</v>
      </c>
      <c r="M28" s="18" t="n">
        <v>0.3687</v>
      </c>
    </row>
    <row r="29" customFormat="false" ht="15" hidden="false" customHeight="false" outlineLevel="0" collapsed="false">
      <c r="A29" s="9" t="s">
        <v>117</v>
      </c>
      <c r="B29" s="17" t="n">
        <v>6.5915</v>
      </c>
      <c r="C29" s="17" t="n">
        <v>0.1133</v>
      </c>
      <c r="D29" s="17" t="n">
        <v>1.041</v>
      </c>
      <c r="E29" s="17" t="n">
        <v>0.0186</v>
      </c>
      <c r="F29" s="18" t="n">
        <v>1.406</v>
      </c>
      <c r="G29" s="18" t="n">
        <v>0.9494</v>
      </c>
      <c r="H29" s="17" t="n">
        <v>9.3115</v>
      </c>
      <c r="I29" s="17" t="n">
        <v>0.4843</v>
      </c>
      <c r="J29" s="18" t="n">
        <v>0.0298</v>
      </c>
      <c r="K29" s="18" t="n">
        <v>0.7851</v>
      </c>
      <c r="L29" s="17" t="n">
        <v>1.3969</v>
      </c>
      <c r="M29" s="17" t="n">
        <v>0.3542</v>
      </c>
    </row>
    <row r="31" customFormat="false" ht="15" hidden="false" customHeight="false" outlineLevel="0" collapsed="false">
      <c r="A31" s="5" t="s">
        <v>118</v>
      </c>
    </row>
    <row r="32" customFormat="false" ht="15" hidden="false" customHeight="false" outlineLevel="0" collapsed="false">
      <c r="A32" s="8" t="s">
        <v>88</v>
      </c>
      <c r="B32" s="8" t="s">
        <v>89</v>
      </c>
      <c r="C32" s="8" t="s">
        <v>90</v>
      </c>
      <c r="D32" s="8" t="s">
        <v>91</v>
      </c>
      <c r="E32" s="8" t="s">
        <v>92</v>
      </c>
      <c r="F32" s="8" t="s">
        <v>93</v>
      </c>
      <c r="G32" s="8" t="s">
        <v>94</v>
      </c>
      <c r="H32" s="8" t="s">
        <v>95</v>
      </c>
      <c r="I32" s="8" t="s">
        <v>96</v>
      </c>
      <c r="J32" s="8" t="s">
        <v>97</v>
      </c>
      <c r="K32" s="8" t="s">
        <v>98</v>
      </c>
      <c r="L32" s="8" t="s">
        <v>99</v>
      </c>
      <c r="M32" s="8" t="s">
        <v>100</v>
      </c>
    </row>
    <row r="33" customFormat="false" ht="15" hidden="false" customHeight="false" outlineLevel="0" collapsed="false">
      <c r="A33" s="9" t="s">
        <v>115</v>
      </c>
      <c r="B33" s="17" t="n">
        <v>6.5981</v>
      </c>
      <c r="C33" s="17" t="n">
        <v>0.1129</v>
      </c>
      <c r="D33" s="17" t="n">
        <v>1.0423</v>
      </c>
      <c r="E33" s="18" t="n">
        <v>0.0232</v>
      </c>
      <c r="F33" s="17" t="n">
        <v>1.3681</v>
      </c>
      <c r="G33" s="17" t="n">
        <v>0.9316</v>
      </c>
      <c r="H33" s="18" t="n">
        <v>12.403</v>
      </c>
      <c r="I33" s="17" t="n">
        <v>0.4478</v>
      </c>
      <c r="J33" s="17" t="n">
        <v>0.1211</v>
      </c>
      <c r="K33" s="17" t="n">
        <v>0.7607</v>
      </c>
      <c r="L33" s="17" t="n">
        <v>1.3528</v>
      </c>
      <c r="M33" s="17" t="n">
        <v>0.3219</v>
      </c>
    </row>
    <row r="34" customFormat="false" ht="15" hidden="false" customHeight="false" outlineLevel="0" collapsed="false">
      <c r="A34" s="9" t="s">
        <v>116</v>
      </c>
      <c r="B34" s="18" t="n">
        <v>6.6627</v>
      </c>
      <c r="C34" s="18" t="n">
        <v>0.1193</v>
      </c>
      <c r="D34" s="18" t="n">
        <v>1.0522</v>
      </c>
      <c r="E34" s="17" t="n">
        <v>0.0209</v>
      </c>
      <c r="F34" s="17" t="n">
        <v>1.3101</v>
      </c>
      <c r="G34" s="17" t="n">
        <v>0.8768</v>
      </c>
      <c r="H34" s="17" t="n">
        <v>10.6922</v>
      </c>
      <c r="I34" s="18" t="n">
        <v>0.5137</v>
      </c>
      <c r="J34" s="17" t="n">
        <v>0.0654</v>
      </c>
      <c r="K34" s="17" t="n">
        <v>0.7747</v>
      </c>
      <c r="L34" s="18" t="n">
        <v>1.4532</v>
      </c>
      <c r="M34" s="18" t="n">
        <v>0.3687</v>
      </c>
    </row>
    <row r="35" customFormat="false" ht="15" hidden="false" customHeight="false" outlineLevel="0" collapsed="false">
      <c r="A35" s="9" t="s">
        <v>117</v>
      </c>
      <c r="B35" s="17" t="n">
        <v>6.5915</v>
      </c>
      <c r="C35" s="17" t="n">
        <v>0.1133</v>
      </c>
      <c r="D35" s="17" t="n">
        <v>1.041</v>
      </c>
      <c r="E35" s="17" t="n">
        <v>0.0186</v>
      </c>
      <c r="F35" s="18" t="n">
        <v>1.406</v>
      </c>
      <c r="G35" s="18" t="n">
        <v>0.9494</v>
      </c>
      <c r="H35" s="17" t="n">
        <v>9.3115</v>
      </c>
      <c r="I35" s="17" t="n">
        <v>0.4843</v>
      </c>
      <c r="J35" s="18" t="n">
        <v>0.0298</v>
      </c>
      <c r="K35" s="18" t="n">
        <v>0.7851</v>
      </c>
      <c r="L35" s="17" t="n">
        <v>1.3969</v>
      </c>
      <c r="M35" s="17" t="n">
        <v>0.3542</v>
      </c>
    </row>
    <row r="36" customFormat="false" ht="15" hidden="false" customHeight="false" outlineLevel="0" collapsed="false">
      <c r="A36" s="12" t="s">
        <v>119</v>
      </c>
      <c r="B36" s="18" t="n">
        <v>6.6125</v>
      </c>
      <c r="C36" s="18" t="n">
        <v>0.115</v>
      </c>
      <c r="D36" s="18" t="n">
        <v>1.0443</v>
      </c>
      <c r="E36" s="18" t="n">
        <v>0.0191</v>
      </c>
      <c r="F36" s="18" t="n">
        <v>1.3741</v>
      </c>
      <c r="G36" s="18" t="n">
        <v>0.9274</v>
      </c>
      <c r="H36" s="18" t="n">
        <v>9.5192</v>
      </c>
      <c r="I36" s="18" t="n">
        <v>0.4948</v>
      </c>
      <c r="J36" s="18" t="n">
        <v>0.0353</v>
      </c>
      <c r="K36" s="18" t="n">
        <v>0.7835</v>
      </c>
      <c r="L36" s="18" t="n">
        <v>1.4212</v>
      </c>
      <c r="M36" s="18" t="n">
        <v>0.3611</v>
      </c>
    </row>
    <row r="38" customFormat="false" ht="15" hidden="false" customHeight="false" outlineLevel="0" collapsed="false">
      <c r="A38" s="5" t="s">
        <v>120</v>
      </c>
    </row>
    <row r="39" customFormat="false" ht="15" hidden="false" customHeight="false" outlineLevel="0" collapsed="false">
      <c r="A39" s="8" t="s">
        <v>88</v>
      </c>
      <c r="B39" s="8" t="s">
        <v>89</v>
      </c>
      <c r="C39" s="8" t="s">
        <v>90</v>
      </c>
      <c r="D39" s="8" t="s">
        <v>91</v>
      </c>
      <c r="E39" s="8" t="s">
        <v>92</v>
      </c>
      <c r="F39" s="8" t="s">
        <v>93</v>
      </c>
      <c r="G39" s="8" t="s">
        <v>94</v>
      </c>
      <c r="H39" s="8" t="s">
        <v>95</v>
      </c>
      <c r="I39" s="8" t="s">
        <v>96</v>
      </c>
      <c r="J39" s="8" t="s">
        <v>97</v>
      </c>
      <c r="K39" s="8" t="s">
        <v>98</v>
      </c>
      <c r="L39" s="8" t="s">
        <v>99</v>
      </c>
      <c r="M39" s="8" t="s">
        <v>100</v>
      </c>
    </row>
    <row r="40" customFormat="false" ht="15" hidden="false" customHeight="false" outlineLevel="0" collapsed="false">
      <c r="A40" s="9" t="s">
        <v>111</v>
      </c>
      <c r="B40" s="17" t="n">
        <v>6.5178</v>
      </c>
      <c r="C40" s="17" t="n">
        <v>0.1092</v>
      </c>
      <c r="D40" s="17" t="n">
        <v>1.029</v>
      </c>
      <c r="E40" s="17" t="n">
        <v>0.0144</v>
      </c>
      <c r="F40" s="17" t="n">
        <v>1.5119</v>
      </c>
      <c r="G40" s="17" t="n">
        <v>1.0637</v>
      </c>
      <c r="H40" s="17" t="n">
        <v>7.112</v>
      </c>
      <c r="I40" s="17" t="n">
        <v>0.3098</v>
      </c>
      <c r="J40" s="18" t="n">
        <v>0</v>
      </c>
      <c r="K40" s="18" t="n">
        <v>0.7921</v>
      </c>
      <c r="L40" s="17" t="n">
        <v>1.3247</v>
      </c>
      <c r="M40" s="17" t="n">
        <v>0.3305</v>
      </c>
    </row>
    <row r="41" customFormat="false" ht="15" hidden="false" customHeight="false" outlineLevel="0" collapsed="false">
      <c r="A41" s="9" t="s">
        <v>112</v>
      </c>
      <c r="B41" s="18" t="n">
        <v>6.835</v>
      </c>
      <c r="C41" s="18" t="n">
        <v>0.1548</v>
      </c>
      <c r="D41" s="18" t="n">
        <v>1.0792</v>
      </c>
      <c r="E41" s="17" t="n">
        <v>0.0248</v>
      </c>
      <c r="F41" s="18" t="n">
        <v>2.1183</v>
      </c>
      <c r="G41" s="18" t="n">
        <v>1.0717</v>
      </c>
      <c r="H41" s="17" t="n">
        <v>13.04</v>
      </c>
      <c r="I41" s="17" t="n">
        <v>0.4419</v>
      </c>
      <c r="J41" s="17" t="n">
        <v>0.108</v>
      </c>
      <c r="K41" s="17" t="n">
        <v>0.7208</v>
      </c>
      <c r="L41" s="17" t="n">
        <v>1.3217</v>
      </c>
      <c r="M41" s="18" t="n">
        <v>0.4101</v>
      </c>
    </row>
    <row r="42" customFormat="false" ht="15" hidden="false" customHeight="false" outlineLevel="0" collapsed="false">
      <c r="A42" s="9" t="s">
        <v>113</v>
      </c>
      <c r="B42" s="17" t="n">
        <v>6.6645</v>
      </c>
      <c r="C42" s="17" t="n">
        <v>0.1167</v>
      </c>
      <c r="D42" s="17" t="n">
        <v>1.0529</v>
      </c>
      <c r="E42" s="18" t="n">
        <v>0.0256</v>
      </c>
      <c r="F42" s="17" t="n">
        <v>1.3038</v>
      </c>
      <c r="G42" s="17" t="n">
        <v>0.8843</v>
      </c>
      <c r="H42" s="18" t="n">
        <v>13.151</v>
      </c>
      <c r="I42" s="17" t="n">
        <v>0.4762</v>
      </c>
      <c r="J42" s="17" t="n">
        <v>0.1915</v>
      </c>
      <c r="K42" s="17" t="n">
        <v>0.7305</v>
      </c>
      <c r="L42" s="17" t="n">
        <v>1.3208</v>
      </c>
      <c r="M42" s="17" t="n">
        <v>0.3067</v>
      </c>
    </row>
    <row r="43" customFormat="false" ht="15" hidden="false" customHeight="false" outlineLevel="0" collapsed="false">
      <c r="A43" s="9" t="s">
        <v>104</v>
      </c>
      <c r="B43" s="17" t="n">
        <v>6.7217</v>
      </c>
      <c r="C43" s="17" t="n">
        <v>0.1246</v>
      </c>
      <c r="D43" s="17" t="n">
        <v>1.0618</v>
      </c>
      <c r="E43" s="17" t="n">
        <v>0.0235</v>
      </c>
      <c r="F43" s="17" t="n">
        <v>1.3628</v>
      </c>
      <c r="G43" s="17" t="n">
        <v>0.914</v>
      </c>
      <c r="H43" s="17" t="n">
        <v>11.9234</v>
      </c>
      <c r="I43" s="17" t="n">
        <v>0.4583</v>
      </c>
      <c r="J43" s="17" t="n">
        <v>0.1168</v>
      </c>
      <c r="K43" s="17" t="n">
        <v>0.7392</v>
      </c>
      <c r="L43" s="18" t="n">
        <v>1.4302</v>
      </c>
      <c r="M43" s="17" t="n">
        <v>0.3564</v>
      </c>
    </row>
    <row r="44" customFormat="false" ht="15" hidden="false" customHeight="false" outlineLevel="0" collapsed="false">
      <c r="A44" s="12" t="s">
        <v>119</v>
      </c>
      <c r="B44" s="18" t="n">
        <v>6.6125</v>
      </c>
      <c r="C44" s="18" t="n">
        <v>0.115</v>
      </c>
      <c r="D44" s="18" t="n">
        <v>1.0443</v>
      </c>
      <c r="E44" s="18" t="n">
        <v>0.0191</v>
      </c>
      <c r="F44" s="18" t="n">
        <v>1.3741</v>
      </c>
      <c r="G44" s="18" t="n">
        <v>0.9274</v>
      </c>
      <c r="H44" s="18" t="n">
        <v>9.5192</v>
      </c>
      <c r="I44" s="18" t="n">
        <v>0.4948</v>
      </c>
      <c r="J44" s="18" t="n">
        <v>0.0353</v>
      </c>
      <c r="K44" s="18" t="n">
        <v>0.7835</v>
      </c>
      <c r="L44" s="18" t="n">
        <v>1.4212</v>
      </c>
      <c r="M44" s="18" t="n">
        <v>0.3611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38"/>
  </cols>
  <sheetData>
    <row r="1" customFormat="false" ht="15" hidden="false" customHeight="false" outlineLevel="0" collapsed="false">
      <c r="A1" s="1" t="s">
        <v>121</v>
      </c>
    </row>
    <row r="2" customFormat="false" ht="15" hidden="false" customHeight="false" outlineLevel="0" collapsed="false">
      <c r="A2" s="2" t="s">
        <v>122</v>
      </c>
    </row>
    <row r="4" customFormat="false" ht="15" hidden="false" customHeight="false" outlineLevel="0" collapsed="false">
      <c r="A4" s="8" t="s">
        <v>88</v>
      </c>
      <c r="B4" s="8" t="s">
        <v>89</v>
      </c>
      <c r="C4" s="8" t="s">
        <v>90</v>
      </c>
      <c r="D4" s="8" t="s">
        <v>91</v>
      </c>
      <c r="E4" s="8" t="s">
        <v>92</v>
      </c>
      <c r="F4" s="8" t="s">
        <v>93</v>
      </c>
      <c r="G4" s="8" t="s">
        <v>94</v>
      </c>
      <c r="H4" s="8" t="s">
        <v>95</v>
      </c>
      <c r="I4" s="8" t="s">
        <v>96</v>
      </c>
      <c r="J4" s="8" t="s">
        <v>97</v>
      </c>
      <c r="K4" s="8" t="s">
        <v>98</v>
      </c>
      <c r="L4" s="8" t="s">
        <v>99</v>
      </c>
      <c r="M4" s="8" t="s">
        <v>100</v>
      </c>
    </row>
    <row r="5" customFormat="false" ht="15" hidden="false" customHeight="false" outlineLevel="0" collapsed="false">
      <c r="A5" s="9" t="s">
        <v>111</v>
      </c>
      <c r="B5" s="17" t="n">
        <v>6.5178</v>
      </c>
      <c r="C5" s="17" t="n">
        <v>0.1092</v>
      </c>
      <c r="D5" s="17" t="n">
        <v>1.029</v>
      </c>
      <c r="E5" s="17" t="n">
        <v>0.0144</v>
      </c>
      <c r="F5" s="17" t="n">
        <v>1.5119</v>
      </c>
      <c r="G5" s="17" t="n">
        <v>1.0637</v>
      </c>
      <c r="H5" s="17" t="n">
        <v>7.112</v>
      </c>
      <c r="I5" s="17" t="n">
        <v>0.3098</v>
      </c>
      <c r="J5" s="17" t="n">
        <v>0</v>
      </c>
      <c r="K5" s="17" t="n">
        <v>0.7921</v>
      </c>
      <c r="L5" s="17" t="n">
        <v>1.3247</v>
      </c>
      <c r="M5" s="17" t="n">
        <v>0.3305</v>
      </c>
    </row>
    <row r="6" customFormat="false" ht="15" hidden="false" customHeight="false" outlineLevel="0" collapsed="false">
      <c r="A6" s="9" t="s">
        <v>112</v>
      </c>
      <c r="B6" s="17" t="n">
        <v>6.835</v>
      </c>
      <c r="C6" s="17" t="n">
        <v>0.1548</v>
      </c>
      <c r="D6" s="17" t="n">
        <v>1.0792</v>
      </c>
      <c r="E6" s="17" t="n">
        <v>0.0248</v>
      </c>
      <c r="F6" s="18" t="n">
        <v>2.1183</v>
      </c>
      <c r="G6" s="18" t="n">
        <v>1.0717</v>
      </c>
      <c r="H6" s="17" t="n">
        <v>13.04</v>
      </c>
      <c r="I6" s="17" t="n">
        <v>0.4419</v>
      </c>
      <c r="J6" s="17" t="n">
        <v>0.108</v>
      </c>
      <c r="K6" s="17" t="n">
        <v>0.7208</v>
      </c>
      <c r="L6" s="17" t="n">
        <v>1.3217</v>
      </c>
      <c r="M6" s="18" t="n">
        <v>0.4101</v>
      </c>
    </row>
    <row r="7" customFormat="false" ht="15" hidden="false" customHeight="false" outlineLevel="0" collapsed="false">
      <c r="A7" s="9" t="s">
        <v>113</v>
      </c>
      <c r="B7" s="17" t="n">
        <v>6.6645</v>
      </c>
      <c r="C7" s="17" t="n">
        <v>0.1167</v>
      </c>
      <c r="D7" s="17" t="n">
        <v>1.0529</v>
      </c>
      <c r="E7" s="17" t="n">
        <v>0.0256</v>
      </c>
      <c r="F7" s="17" t="n">
        <v>1.3038</v>
      </c>
      <c r="G7" s="17" t="n">
        <v>0.8843</v>
      </c>
      <c r="H7" s="17" t="n">
        <v>13.151</v>
      </c>
      <c r="I7" s="17" t="n">
        <v>0.4762</v>
      </c>
      <c r="J7" s="17" t="n">
        <v>0.1915</v>
      </c>
      <c r="K7" s="17" t="n">
        <v>0.7305</v>
      </c>
      <c r="L7" s="17" t="n">
        <v>1.3208</v>
      </c>
      <c r="M7" s="17" t="n">
        <v>0.3067</v>
      </c>
    </row>
    <row r="8" customFormat="false" ht="15" hidden="false" customHeight="false" outlineLevel="0" collapsed="false">
      <c r="A8" s="9" t="s">
        <v>101</v>
      </c>
      <c r="B8" s="17" t="n">
        <v>6.6765</v>
      </c>
      <c r="C8" s="17" t="n">
        <v>0.1197</v>
      </c>
      <c r="D8" s="17" t="n">
        <v>1.0546</v>
      </c>
      <c r="E8" s="17" t="n">
        <v>0.023</v>
      </c>
      <c r="F8" s="17" t="n">
        <v>1.3954</v>
      </c>
      <c r="G8" s="17" t="n">
        <v>0.9182</v>
      </c>
      <c r="H8" s="17" t="n">
        <v>11.627</v>
      </c>
      <c r="I8" s="17" t="n">
        <v>0.4559</v>
      </c>
      <c r="J8" s="17" t="n">
        <v>0.1019</v>
      </c>
      <c r="K8" s="17" t="n">
        <v>0.7441</v>
      </c>
      <c r="L8" s="17" t="n">
        <v>1.3967</v>
      </c>
      <c r="M8" s="17" t="n">
        <v>0.3523</v>
      </c>
    </row>
    <row r="9" customFormat="false" ht="15" hidden="false" customHeight="false" outlineLevel="0" collapsed="false">
      <c r="A9" s="9" t="s">
        <v>102</v>
      </c>
      <c r="B9" s="17" t="n">
        <v>6.6901</v>
      </c>
      <c r="C9" s="17" t="n">
        <v>0.1209</v>
      </c>
      <c r="D9" s="17" t="n">
        <v>1.0568</v>
      </c>
      <c r="E9" s="17" t="n">
        <v>0.0231</v>
      </c>
      <c r="F9" s="17" t="n">
        <v>1.3906</v>
      </c>
      <c r="G9" s="17" t="n">
        <v>0.9145</v>
      </c>
      <c r="H9" s="17" t="n">
        <v>11.5761</v>
      </c>
      <c r="I9" s="17" t="n">
        <v>0.4392</v>
      </c>
      <c r="J9" s="17" t="n">
        <v>0.104</v>
      </c>
      <c r="K9" s="17" t="n">
        <v>0.7414</v>
      </c>
      <c r="L9" s="17" t="n">
        <v>1.4042</v>
      </c>
      <c r="M9" s="17" t="n">
        <v>0.3528</v>
      </c>
    </row>
    <row r="10" customFormat="false" ht="15" hidden="false" customHeight="false" outlineLevel="0" collapsed="false">
      <c r="A10" s="9" t="s">
        <v>103</v>
      </c>
      <c r="B10" s="17" t="n">
        <v>6.6632</v>
      </c>
      <c r="C10" s="17" t="n">
        <v>0.1187</v>
      </c>
      <c r="D10" s="17" t="n">
        <v>1.0525</v>
      </c>
      <c r="E10" s="17" t="n">
        <v>0.0226</v>
      </c>
      <c r="F10" s="17" t="n">
        <v>1.383</v>
      </c>
      <c r="G10" s="17" t="n">
        <v>0.9381</v>
      </c>
      <c r="H10" s="17" t="n">
        <v>11.4187</v>
      </c>
      <c r="I10" s="17" t="n">
        <v>0.4556</v>
      </c>
      <c r="J10" s="17" t="n">
        <v>0.1071</v>
      </c>
      <c r="K10" s="17" t="n">
        <v>0.7494</v>
      </c>
      <c r="L10" s="17" t="n">
        <v>1.3917</v>
      </c>
      <c r="M10" s="17" t="n">
        <v>0.344</v>
      </c>
    </row>
    <row r="11" customFormat="false" ht="15" hidden="false" customHeight="false" outlineLevel="0" collapsed="false">
      <c r="A11" s="9" t="s">
        <v>104</v>
      </c>
      <c r="B11" s="17" t="n">
        <v>6.7217</v>
      </c>
      <c r="C11" s="17" t="n">
        <v>0.1246</v>
      </c>
      <c r="D11" s="17" t="n">
        <v>1.0618</v>
      </c>
      <c r="E11" s="17" t="n">
        <v>0.0235</v>
      </c>
      <c r="F11" s="17" t="n">
        <v>1.3628</v>
      </c>
      <c r="G11" s="17" t="n">
        <v>0.914</v>
      </c>
      <c r="H11" s="17" t="n">
        <v>11.9234</v>
      </c>
      <c r="I11" s="17" t="n">
        <v>0.4583</v>
      </c>
      <c r="J11" s="17" t="n">
        <v>0.1168</v>
      </c>
      <c r="K11" s="17" t="n">
        <v>0.7392</v>
      </c>
      <c r="L11" s="17" t="n">
        <v>1.4302</v>
      </c>
      <c r="M11" s="17" t="n">
        <v>0.3564</v>
      </c>
    </row>
    <row r="12" customFormat="false" ht="15" hidden="false" customHeight="false" outlineLevel="0" collapsed="false">
      <c r="A12" s="9" t="s">
        <v>107</v>
      </c>
      <c r="B12" s="17" t="n">
        <v>6.9721</v>
      </c>
      <c r="C12" s="17" t="n">
        <v>0.143</v>
      </c>
      <c r="D12" s="17" t="n">
        <v>1.1022</v>
      </c>
      <c r="E12" s="17" t="n">
        <v>0.0444</v>
      </c>
      <c r="F12" s="17" t="n">
        <v>0.8758</v>
      </c>
      <c r="G12" s="17" t="n">
        <v>0.6181</v>
      </c>
      <c r="H12" s="17" t="n">
        <v>21.7436</v>
      </c>
      <c r="I12" s="17" t="n">
        <v>0.3259</v>
      </c>
      <c r="J12" s="17" t="n">
        <v>0.5368</v>
      </c>
      <c r="K12" s="17" t="n">
        <v>0.5765</v>
      </c>
      <c r="L12" s="17" t="n">
        <v>1.3408</v>
      </c>
      <c r="M12" s="17" t="n">
        <v>0.3137</v>
      </c>
    </row>
    <row r="13" customFormat="false" ht="15" hidden="false" customHeight="false" outlineLevel="0" collapsed="false">
      <c r="A13" s="9" t="s">
        <v>108</v>
      </c>
      <c r="B13" s="17" t="n">
        <v>6.997</v>
      </c>
      <c r="C13" s="17" t="n">
        <v>0.1459</v>
      </c>
      <c r="D13" s="17" t="n">
        <v>1.1062</v>
      </c>
      <c r="E13" s="17" t="n">
        <v>0.044</v>
      </c>
      <c r="F13" s="17" t="n">
        <v>0.8578</v>
      </c>
      <c r="G13" s="17" t="n">
        <v>0.6123</v>
      </c>
      <c r="H13" s="17" t="n">
        <v>21.3473</v>
      </c>
      <c r="I13" s="17" t="n">
        <v>0.3287</v>
      </c>
      <c r="J13" s="17" t="n">
        <v>0.5319</v>
      </c>
      <c r="K13" s="17" t="n">
        <v>0.575</v>
      </c>
      <c r="L13" s="17" t="n">
        <v>1.3386</v>
      </c>
      <c r="M13" s="17" t="n">
        <v>0.3182</v>
      </c>
    </row>
    <row r="14" customFormat="false" ht="15" hidden="false" customHeight="false" outlineLevel="0" collapsed="false">
      <c r="A14" s="9" t="s">
        <v>109</v>
      </c>
      <c r="B14" s="17" t="n">
        <v>6.9762</v>
      </c>
      <c r="C14" s="17" t="n">
        <v>0.1433</v>
      </c>
      <c r="D14" s="17" t="n">
        <v>1.1031</v>
      </c>
      <c r="E14" s="17" t="n">
        <v>0.0444</v>
      </c>
      <c r="F14" s="17" t="n">
        <v>0.8859</v>
      </c>
      <c r="G14" s="17" t="n">
        <v>0.6336</v>
      </c>
      <c r="H14" s="17" t="n">
        <v>21.8316</v>
      </c>
      <c r="I14" s="17" t="n">
        <v>0.3109</v>
      </c>
      <c r="J14" s="17" t="n">
        <v>0.5369</v>
      </c>
      <c r="K14" s="17" t="n">
        <v>0.5724</v>
      </c>
      <c r="L14" s="17" t="n">
        <v>1.3378</v>
      </c>
      <c r="M14" s="17" t="n">
        <v>0.3004</v>
      </c>
    </row>
    <row r="15" customFormat="false" ht="15" hidden="false" customHeight="false" outlineLevel="0" collapsed="false">
      <c r="A15" s="9" t="s">
        <v>106</v>
      </c>
      <c r="B15" s="18" t="n">
        <v>7.1065</v>
      </c>
      <c r="C15" s="18" t="n">
        <v>0.161</v>
      </c>
      <c r="D15" s="18" t="n">
        <v>1.124</v>
      </c>
      <c r="E15" s="18" t="n">
        <v>0.0473</v>
      </c>
      <c r="F15" s="17" t="n">
        <v>0.7729</v>
      </c>
      <c r="G15" s="17" t="n">
        <v>0.5949</v>
      </c>
      <c r="H15" s="18" t="n">
        <v>22.9396</v>
      </c>
      <c r="I15" s="17" t="n">
        <v>0.2913</v>
      </c>
      <c r="J15" s="17" t="n">
        <v>0.5745</v>
      </c>
      <c r="K15" s="17" t="n">
        <v>0.5338</v>
      </c>
      <c r="L15" s="17" t="n">
        <v>1.2791</v>
      </c>
      <c r="M15" s="17" t="n">
        <v>0.2977</v>
      </c>
    </row>
    <row r="16" customFormat="false" ht="15" hidden="false" customHeight="false" outlineLevel="0" collapsed="false">
      <c r="A16" s="9" t="s">
        <v>115</v>
      </c>
      <c r="B16" s="17" t="n">
        <v>6.5981</v>
      </c>
      <c r="C16" s="17" t="n">
        <v>0.1129</v>
      </c>
      <c r="D16" s="17" t="n">
        <v>1.0423</v>
      </c>
      <c r="E16" s="17" t="n">
        <v>0.0232</v>
      </c>
      <c r="F16" s="17" t="n">
        <v>1.3681</v>
      </c>
      <c r="G16" s="17" t="n">
        <v>0.9316</v>
      </c>
      <c r="H16" s="17" t="n">
        <v>12.403</v>
      </c>
      <c r="I16" s="17" t="n">
        <v>0.4478</v>
      </c>
      <c r="J16" s="17" t="n">
        <v>0.1211</v>
      </c>
      <c r="K16" s="17" t="n">
        <v>0.7607</v>
      </c>
      <c r="L16" s="17" t="n">
        <v>1.3528</v>
      </c>
      <c r="M16" s="17" t="n">
        <v>0.3219</v>
      </c>
    </row>
    <row r="17" customFormat="false" ht="15" hidden="false" customHeight="false" outlineLevel="0" collapsed="false">
      <c r="A17" s="9" t="s">
        <v>116</v>
      </c>
      <c r="B17" s="17" t="n">
        <v>6.6627</v>
      </c>
      <c r="C17" s="17" t="n">
        <v>0.1193</v>
      </c>
      <c r="D17" s="17" t="n">
        <v>1.0522</v>
      </c>
      <c r="E17" s="17" t="n">
        <v>0.0209</v>
      </c>
      <c r="F17" s="17" t="n">
        <v>1.3101</v>
      </c>
      <c r="G17" s="17" t="n">
        <v>0.8768</v>
      </c>
      <c r="H17" s="17" t="n">
        <v>10.6922</v>
      </c>
      <c r="I17" s="18" t="n">
        <v>0.5137</v>
      </c>
      <c r="J17" s="17" t="n">
        <v>0.0654</v>
      </c>
      <c r="K17" s="17" t="n">
        <v>0.7747</v>
      </c>
      <c r="L17" s="18" t="n">
        <v>1.4532</v>
      </c>
      <c r="M17" s="17" t="n">
        <v>0.3687</v>
      </c>
    </row>
    <row r="18" customFormat="false" ht="15" hidden="false" customHeight="false" outlineLevel="0" collapsed="false">
      <c r="A18" s="9" t="s">
        <v>117</v>
      </c>
      <c r="B18" s="17" t="n">
        <v>6.5915</v>
      </c>
      <c r="C18" s="17" t="n">
        <v>0.1133</v>
      </c>
      <c r="D18" s="17" t="n">
        <v>1.041</v>
      </c>
      <c r="E18" s="17" t="n">
        <v>0.0186</v>
      </c>
      <c r="F18" s="17" t="n">
        <v>1.406</v>
      </c>
      <c r="G18" s="17" t="n">
        <v>0.9494</v>
      </c>
      <c r="H18" s="17" t="n">
        <v>9.3115</v>
      </c>
      <c r="I18" s="17" t="n">
        <v>0.4843</v>
      </c>
      <c r="J18" s="18" t="n">
        <v>0.0298</v>
      </c>
      <c r="K18" s="18" t="n">
        <v>0.7851</v>
      </c>
      <c r="L18" s="17" t="n">
        <v>1.3969</v>
      </c>
      <c r="M18" s="17" t="n">
        <v>0.3542</v>
      </c>
    </row>
    <row r="19" customFormat="false" ht="15" hidden="false" customHeight="false" outlineLevel="0" collapsed="false">
      <c r="A19" s="12" t="s">
        <v>119</v>
      </c>
      <c r="B19" s="18" t="n">
        <v>6.6125</v>
      </c>
      <c r="C19" s="18" t="n">
        <v>0.115</v>
      </c>
      <c r="D19" s="18" t="n">
        <v>1.0443</v>
      </c>
      <c r="E19" s="18" t="n">
        <v>0.0191</v>
      </c>
      <c r="F19" s="18" t="n">
        <v>1.3741</v>
      </c>
      <c r="G19" s="18" t="n">
        <v>0.9274</v>
      </c>
      <c r="H19" s="18" t="n">
        <v>9.5192</v>
      </c>
      <c r="I19" s="18" t="n">
        <v>0.4948</v>
      </c>
      <c r="J19" s="18" t="n">
        <v>0.0353</v>
      </c>
      <c r="K19" s="18" t="n">
        <v>0.7835</v>
      </c>
      <c r="L19" s="18" t="n">
        <v>1.4212</v>
      </c>
      <c r="M19" s="18" t="n">
        <v>0.3611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3" min="2" style="0" width="9"/>
  </cols>
  <sheetData>
    <row r="1" customFormat="false" ht="15" hidden="false" customHeight="false" outlineLevel="0" collapsed="false">
      <c r="A1" s="1" t="s">
        <v>123</v>
      </c>
    </row>
    <row r="2" customFormat="false" ht="15" hidden="false" customHeight="false" outlineLevel="0" collapsed="false">
      <c r="A2" s="2" t="s">
        <v>124</v>
      </c>
    </row>
    <row r="4" customFormat="false" ht="15" hidden="false" customHeight="false" outlineLevel="0" collapsed="false">
      <c r="A4" s="8" t="s">
        <v>125</v>
      </c>
      <c r="B4" s="8" t="s">
        <v>126</v>
      </c>
      <c r="C4" s="8" t="s">
        <v>127</v>
      </c>
      <c r="D4" s="8" t="s">
        <v>128</v>
      </c>
      <c r="E4" s="8" t="s">
        <v>129</v>
      </c>
      <c r="F4" s="8" t="s">
        <v>130</v>
      </c>
      <c r="G4" s="8" t="s">
        <v>131</v>
      </c>
      <c r="H4" s="8" t="s">
        <v>132</v>
      </c>
      <c r="I4" s="8" t="s">
        <v>133</v>
      </c>
      <c r="J4" s="8" t="s">
        <v>134</v>
      </c>
      <c r="K4" s="8" t="s">
        <v>135</v>
      </c>
      <c r="L4" s="8" t="s">
        <v>136</v>
      </c>
      <c r="M4" s="8" t="s">
        <v>137</v>
      </c>
    </row>
    <row r="5" customFormat="false" ht="15" hidden="false" customHeight="false" outlineLevel="0" collapsed="false">
      <c r="A5" s="9" t="s">
        <v>138</v>
      </c>
      <c r="B5" s="17" t="n">
        <v>6.4793</v>
      </c>
      <c r="C5" s="17" t="n">
        <v>0.0933</v>
      </c>
      <c r="D5" s="17" t="n">
        <v>1.2039</v>
      </c>
      <c r="E5" s="17" t="n">
        <v>0.0184</v>
      </c>
      <c r="F5" s="17" t="n">
        <v>1.0397</v>
      </c>
      <c r="G5" s="17" t="n">
        <v>0.9814</v>
      </c>
      <c r="H5" s="17" t="n">
        <v>10.9098</v>
      </c>
      <c r="I5" s="17" t="n">
        <v>0.443</v>
      </c>
      <c r="J5" s="17" t="n">
        <v>0.0378</v>
      </c>
      <c r="K5" s="17" t="n">
        <v>0.7909</v>
      </c>
      <c r="L5" s="17" t="n">
        <v>1.4795</v>
      </c>
      <c r="M5" s="17" t="n">
        <v>0.3229</v>
      </c>
    </row>
    <row r="6" customFormat="false" ht="15" hidden="false" customHeight="false" outlineLevel="0" collapsed="false">
      <c r="A6" s="9" t="s">
        <v>139</v>
      </c>
      <c r="B6" s="17" t="n">
        <v>6.6817</v>
      </c>
      <c r="C6" s="17" t="n">
        <v>0.1102</v>
      </c>
      <c r="D6" s="17" t="n">
        <v>1.0964</v>
      </c>
      <c r="E6" s="17" t="n">
        <v>0.0183</v>
      </c>
      <c r="F6" s="17" t="n">
        <v>1.5532</v>
      </c>
      <c r="G6" s="17" t="n">
        <v>0.8709</v>
      </c>
      <c r="H6" s="17" t="n">
        <v>10.2763</v>
      </c>
      <c r="I6" s="17" t="n">
        <v>0.4929</v>
      </c>
      <c r="J6" s="17" t="n">
        <v>0.0501</v>
      </c>
      <c r="K6" s="17" t="n">
        <v>0.8353</v>
      </c>
      <c r="L6" s="17" t="n">
        <v>1.1629</v>
      </c>
      <c r="M6" s="17" t="n">
        <v>0.3845</v>
      </c>
    </row>
    <row r="7" customFormat="false" ht="15" hidden="false" customHeight="false" outlineLevel="0" collapsed="false">
      <c r="A7" s="9" t="s">
        <v>140</v>
      </c>
      <c r="B7" s="17" t="n">
        <v>6.9583</v>
      </c>
      <c r="C7" s="17" t="n">
        <v>0.1381</v>
      </c>
      <c r="D7" s="17" t="n">
        <v>1.0835</v>
      </c>
      <c r="E7" s="17" t="n">
        <v>0.0215</v>
      </c>
      <c r="F7" s="17" t="n">
        <v>1.7746</v>
      </c>
      <c r="G7" s="17" t="n">
        <v>0.9828</v>
      </c>
      <c r="H7" s="17" t="n">
        <v>11.8131</v>
      </c>
      <c r="I7" s="17" t="n">
        <v>0.5035</v>
      </c>
      <c r="J7" s="17" t="n">
        <v>0.0405</v>
      </c>
      <c r="K7" s="17" t="n">
        <v>0.7986</v>
      </c>
      <c r="L7" s="17" t="n">
        <v>1.0676</v>
      </c>
      <c r="M7" s="17" t="n">
        <v>0.3602</v>
      </c>
    </row>
    <row r="8" customFormat="false" ht="15" hidden="false" customHeight="false" outlineLevel="0" collapsed="false">
      <c r="A8" s="9" t="s">
        <v>141</v>
      </c>
      <c r="B8" s="17" t="n">
        <v>6.5294</v>
      </c>
      <c r="C8" s="17" t="n">
        <v>0.0972</v>
      </c>
      <c r="D8" s="17" t="n">
        <v>1.1967</v>
      </c>
      <c r="E8" s="17" t="n">
        <v>0.0176</v>
      </c>
      <c r="F8" s="17" t="n">
        <v>1.2045</v>
      </c>
      <c r="G8" s="17" t="n">
        <v>1.3209</v>
      </c>
      <c r="H8" s="17" t="n">
        <v>10.1614</v>
      </c>
      <c r="I8" s="17" t="n">
        <v>0.4707</v>
      </c>
      <c r="J8" s="17" t="n">
        <v>0.0509</v>
      </c>
      <c r="K8" s="17" t="n">
        <v>0.8525</v>
      </c>
      <c r="L8" s="17" t="n">
        <v>1.2052</v>
      </c>
      <c r="M8" s="17" t="n">
        <v>0.3825</v>
      </c>
    </row>
    <row r="9" customFormat="false" ht="15" hidden="false" customHeight="false" outlineLevel="0" collapsed="false">
      <c r="A9" s="9" t="s">
        <v>142</v>
      </c>
      <c r="B9" s="17" t="n">
        <v>6.6767</v>
      </c>
      <c r="C9" s="17" t="n">
        <v>0.12</v>
      </c>
      <c r="D9" s="17" t="n">
        <v>1.1176</v>
      </c>
      <c r="E9" s="17" t="n">
        <v>0.0163</v>
      </c>
      <c r="F9" s="17" t="n">
        <v>1.3661</v>
      </c>
      <c r="G9" s="17" t="n">
        <v>1.0857</v>
      </c>
      <c r="H9" s="17" t="n">
        <v>8.0516</v>
      </c>
      <c r="I9" s="17" t="n">
        <v>0.4279</v>
      </c>
      <c r="J9" s="17" t="n">
        <v>0.0616</v>
      </c>
      <c r="K9" s="17" t="n">
        <v>0.8427</v>
      </c>
      <c r="L9" s="17" t="n">
        <v>1.1726</v>
      </c>
      <c r="M9" s="17" t="n">
        <v>0.363</v>
      </c>
    </row>
    <row r="10" customFormat="false" ht="15" hidden="false" customHeight="false" outlineLevel="0" collapsed="false">
      <c r="A10" s="9" t="s">
        <v>143</v>
      </c>
      <c r="B10" s="17" t="n">
        <v>6.8525</v>
      </c>
      <c r="C10" s="17" t="n">
        <v>0.1246</v>
      </c>
      <c r="D10" s="17" t="n">
        <v>1.1912</v>
      </c>
      <c r="E10" s="17" t="n">
        <v>0.0169</v>
      </c>
      <c r="F10" s="17" t="n">
        <v>1.5357</v>
      </c>
      <c r="G10" s="17" t="n">
        <v>1.002</v>
      </c>
      <c r="H10" s="17" t="n">
        <v>7.2806</v>
      </c>
      <c r="I10" s="17" t="n">
        <v>0.3886</v>
      </c>
      <c r="J10" s="17" t="n">
        <v>0.0556</v>
      </c>
      <c r="K10" s="17" t="n">
        <v>0.8147</v>
      </c>
      <c r="L10" s="17" t="n">
        <v>1.1822</v>
      </c>
      <c r="M10" s="17" t="n">
        <v>0.3222</v>
      </c>
    </row>
    <row r="11" customFormat="false" ht="15" hidden="false" customHeight="false" outlineLevel="0" collapsed="false">
      <c r="A11" s="9" t="s">
        <v>144</v>
      </c>
      <c r="B11" s="17" t="n">
        <v>6.5621</v>
      </c>
      <c r="C11" s="17" t="n">
        <v>0.0996</v>
      </c>
      <c r="D11" s="17" t="n">
        <v>0.9477</v>
      </c>
      <c r="E11" s="17" t="n">
        <v>0.0187</v>
      </c>
      <c r="F11" s="17" t="n">
        <v>0.8662</v>
      </c>
      <c r="G11" s="17" t="n">
        <v>0.7265</v>
      </c>
      <c r="H11" s="17" t="n">
        <v>8.7037</v>
      </c>
      <c r="I11" s="17" t="n">
        <v>0.4603</v>
      </c>
      <c r="J11" s="17" t="n">
        <v>0.027</v>
      </c>
      <c r="K11" s="17" t="n">
        <v>0.7583</v>
      </c>
      <c r="L11" s="17" t="n">
        <v>1.7995</v>
      </c>
      <c r="M11" s="17" t="n">
        <v>0.2775</v>
      </c>
    </row>
    <row r="12" customFormat="false" ht="15" hidden="false" customHeight="false" outlineLevel="0" collapsed="false">
      <c r="A12" s="9" t="s">
        <v>145</v>
      </c>
      <c r="B12" s="17" t="n">
        <v>5.624</v>
      </c>
      <c r="C12" s="17" t="n">
        <v>0.0478</v>
      </c>
      <c r="D12" s="17" t="n">
        <v>0.8961</v>
      </c>
      <c r="E12" s="17" t="n">
        <v>0.0172</v>
      </c>
      <c r="F12" s="17" t="n">
        <v>0.4486</v>
      </c>
      <c r="G12" s="17" t="n">
        <v>0.1561</v>
      </c>
      <c r="H12" s="17" t="n">
        <v>7.1386</v>
      </c>
      <c r="I12" s="17" t="n">
        <v>0.346</v>
      </c>
      <c r="J12" s="17" t="n">
        <v>0.0494</v>
      </c>
      <c r="K12" s="17" t="n">
        <v>0.8007</v>
      </c>
      <c r="L12" s="17" t="n">
        <v>1.7773</v>
      </c>
      <c r="M12" s="17" t="n">
        <v>0.2554</v>
      </c>
    </row>
    <row r="13" customFormat="false" ht="15" hidden="false" customHeight="false" outlineLevel="0" collapsed="false">
      <c r="A13" s="9" t="s">
        <v>146</v>
      </c>
      <c r="B13" s="17" t="n">
        <v>7.1087</v>
      </c>
      <c r="C13" s="17" t="n">
        <v>0.2018</v>
      </c>
      <c r="D13" s="17" t="n">
        <v>1.0028</v>
      </c>
      <c r="E13" s="17" t="n">
        <v>0.0165</v>
      </c>
      <c r="F13" s="17" t="n">
        <v>3.7917</v>
      </c>
      <c r="G13" s="17" t="n">
        <v>3.7917</v>
      </c>
      <c r="H13" s="17" t="n">
        <v>6.6521</v>
      </c>
      <c r="I13" s="17" t="n">
        <v>0.9443</v>
      </c>
      <c r="J13" s="17" t="n">
        <v>0.0529</v>
      </c>
      <c r="K13" s="17" t="n">
        <v>0.9913</v>
      </c>
      <c r="L13" s="17" t="n">
        <v>0.8292</v>
      </c>
      <c r="M13" s="17" t="n">
        <v>1.0436</v>
      </c>
    </row>
    <row r="14" customFormat="false" ht="15" hidden="false" customHeight="false" outlineLevel="0" collapsed="false">
      <c r="A14" s="9" t="s">
        <v>147</v>
      </c>
      <c r="B14" s="17" t="n">
        <v>6.7384</v>
      </c>
      <c r="C14" s="17" t="n">
        <v>0.1086</v>
      </c>
      <c r="D14" s="17" t="n">
        <v>0.9391</v>
      </c>
      <c r="E14" s="17" t="n">
        <v>0.0193</v>
      </c>
      <c r="F14" s="17" t="n">
        <v>0.9491</v>
      </c>
      <c r="G14" s="17" t="n">
        <v>0.7044</v>
      </c>
      <c r="H14" s="17" t="n">
        <v>8.9546</v>
      </c>
      <c r="I14" s="17" t="n">
        <v>0.4124</v>
      </c>
      <c r="J14" s="17" t="n">
        <v>0.0274</v>
      </c>
      <c r="K14" s="17" t="n">
        <v>0.7224</v>
      </c>
      <c r="L14" s="17" t="n">
        <v>1.6633</v>
      </c>
      <c r="M14" s="17" t="n">
        <v>0.2739</v>
      </c>
    </row>
    <row r="15" customFormat="false" ht="15" hidden="false" customHeight="false" outlineLevel="0" collapsed="false">
      <c r="A15" s="9" t="s">
        <v>148</v>
      </c>
      <c r="B15" s="17" t="n">
        <v>4.986</v>
      </c>
      <c r="C15" s="17" t="n">
        <v>0.0401</v>
      </c>
      <c r="D15" s="17" t="n">
        <v>1.0781</v>
      </c>
      <c r="E15" s="17" t="n">
        <v>0.0094</v>
      </c>
      <c r="F15" s="17" t="n">
        <v>1.0825</v>
      </c>
      <c r="G15" s="17" t="n">
        <v>0.554</v>
      </c>
      <c r="H15" s="17" t="n">
        <v>4.0509</v>
      </c>
      <c r="I15" s="17" t="n">
        <v>0.3961</v>
      </c>
      <c r="J15" s="17" t="n">
        <v>0.0331</v>
      </c>
      <c r="K15" s="17" t="n">
        <v>0.8543</v>
      </c>
      <c r="L15" s="17" t="n">
        <v>1.7161</v>
      </c>
      <c r="M15" s="17" t="n">
        <v>0.3279</v>
      </c>
    </row>
    <row r="16" customFormat="false" ht="15" hidden="false" customHeight="false" outlineLevel="0" collapsed="false">
      <c r="A16" s="9" t="s">
        <v>149</v>
      </c>
      <c r="B16" s="17" t="n">
        <v>6.6125</v>
      </c>
      <c r="C16" s="17" t="n">
        <v>0.1003</v>
      </c>
      <c r="D16" s="17" t="n">
        <v>0.9569</v>
      </c>
      <c r="E16" s="17" t="n">
        <v>0.0165</v>
      </c>
      <c r="F16" s="17" t="n">
        <v>1.2698</v>
      </c>
      <c r="G16" s="17" t="n">
        <v>0.4121</v>
      </c>
      <c r="H16" s="17" t="n">
        <v>8.3048</v>
      </c>
      <c r="I16" s="17" t="n">
        <v>0.4759</v>
      </c>
      <c r="J16" s="17" t="n">
        <v>0.0213</v>
      </c>
      <c r="K16" s="17" t="n">
        <v>0.7697</v>
      </c>
      <c r="L16" s="17" t="n">
        <v>1.6879</v>
      </c>
      <c r="M16" s="17" t="n">
        <v>0.304</v>
      </c>
    </row>
    <row r="17" customFormat="false" ht="15" hidden="false" customHeight="false" outlineLevel="0" collapsed="false">
      <c r="A17" s="9" t="s">
        <v>150</v>
      </c>
      <c r="B17" s="17" t="n">
        <v>6.8896</v>
      </c>
      <c r="C17" s="17" t="n">
        <v>0.115</v>
      </c>
      <c r="D17" s="17" t="n">
        <v>0.9608</v>
      </c>
      <c r="E17" s="17" t="n">
        <v>0.0243</v>
      </c>
      <c r="F17" s="17" t="n">
        <v>0.9004</v>
      </c>
      <c r="G17" s="17" t="n">
        <v>0.5222</v>
      </c>
      <c r="H17" s="17" t="n">
        <v>10.5964</v>
      </c>
      <c r="I17" s="17" t="n">
        <v>0.4722</v>
      </c>
      <c r="J17" s="17" t="n">
        <v>0.0273</v>
      </c>
      <c r="K17" s="17" t="n">
        <v>0.7098</v>
      </c>
      <c r="L17" s="17" t="n">
        <v>1.7392</v>
      </c>
      <c r="M17" s="17" t="n">
        <v>0.2653</v>
      </c>
    </row>
    <row r="18" customFormat="false" ht="15" hidden="false" customHeight="false" outlineLevel="0" collapsed="false">
      <c r="A18" s="9" t="s">
        <v>151</v>
      </c>
      <c r="B18" s="17" t="n">
        <v>7.0083</v>
      </c>
      <c r="C18" s="17" t="n">
        <v>0.1402</v>
      </c>
      <c r="D18" s="17" t="n">
        <v>1.0309</v>
      </c>
      <c r="E18" s="17" t="n">
        <v>0.0212</v>
      </c>
      <c r="F18" s="17" t="n">
        <v>1.3094</v>
      </c>
      <c r="G18" s="17" t="n">
        <v>0.5839</v>
      </c>
      <c r="H18" s="17" t="n">
        <v>9.6661</v>
      </c>
      <c r="I18" s="17" t="n">
        <v>0.4702</v>
      </c>
      <c r="J18" s="17" t="n">
        <v>0.0276</v>
      </c>
      <c r="K18" s="17" t="n">
        <v>0.6935</v>
      </c>
      <c r="L18" s="17" t="n">
        <v>1.3423</v>
      </c>
      <c r="M18" s="17" t="n">
        <v>0.2921</v>
      </c>
    </row>
    <row r="19" customFormat="false" ht="15" hidden="false" customHeight="false" outlineLevel="0" collapsed="false">
      <c r="A19" s="9" t="s">
        <v>152</v>
      </c>
      <c r="B19" s="17" t="n">
        <v>6.9548</v>
      </c>
      <c r="C19" s="17" t="n">
        <v>0.1343</v>
      </c>
      <c r="D19" s="17" t="n">
        <v>1.1197</v>
      </c>
      <c r="E19" s="17" t="n">
        <v>0.018</v>
      </c>
      <c r="F19" s="17" t="n">
        <v>1.334</v>
      </c>
      <c r="G19" s="17" t="n">
        <v>0.8403</v>
      </c>
      <c r="H19" s="17" t="n">
        <v>9.148</v>
      </c>
      <c r="I19" s="17" t="n">
        <v>0.489</v>
      </c>
      <c r="J19" s="17" t="n">
        <v>0.0256</v>
      </c>
      <c r="K19" s="17" t="n">
        <v>0.7025</v>
      </c>
      <c r="L19" s="17" t="n">
        <v>1.4976</v>
      </c>
      <c r="M19" s="17" t="n">
        <v>0.329</v>
      </c>
    </row>
    <row r="20" customFormat="false" ht="15" hidden="false" customHeight="false" outlineLevel="0" collapsed="false">
      <c r="A20" s="9" t="s">
        <v>153</v>
      </c>
      <c r="B20" s="17" t="n">
        <v>6.9262</v>
      </c>
      <c r="C20" s="17" t="n">
        <v>0.1207</v>
      </c>
      <c r="D20" s="17" t="n">
        <v>0.99</v>
      </c>
      <c r="E20" s="17" t="n">
        <v>0.0248</v>
      </c>
      <c r="F20" s="17" t="n">
        <v>1.2739</v>
      </c>
      <c r="G20" s="17" t="n">
        <v>0.281</v>
      </c>
      <c r="H20" s="17" t="n">
        <v>11.6569</v>
      </c>
      <c r="I20" s="17" t="n">
        <v>0.4871</v>
      </c>
      <c r="J20" s="17" t="n">
        <v>0.0275</v>
      </c>
      <c r="K20" s="17" t="n">
        <v>0.7006</v>
      </c>
      <c r="L20" s="17" t="n">
        <v>1.4892</v>
      </c>
      <c r="M20" s="17" t="n">
        <v>0.2792</v>
      </c>
    </row>
    <row r="21" customFormat="false" ht="15" hidden="false" customHeight="false" outlineLevel="0" collapsed="false">
      <c r="A21" s="9" t="s">
        <v>154</v>
      </c>
      <c r="B21" s="17" t="n">
        <v>6.6246</v>
      </c>
      <c r="C21" s="17" t="n">
        <v>0.1018</v>
      </c>
      <c r="D21" s="17" t="n">
        <v>0.966</v>
      </c>
      <c r="E21" s="17" t="n">
        <v>0.019</v>
      </c>
      <c r="F21" s="17" t="n">
        <v>1.4701</v>
      </c>
      <c r="G21" s="17" t="n">
        <v>0.5523</v>
      </c>
      <c r="H21" s="17" t="n">
        <v>9.8496</v>
      </c>
      <c r="I21" s="17" t="n">
        <v>0.5669</v>
      </c>
      <c r="J21" s="17" t="n">
        <v>0.0163</v>
      </c>
      <c r="K21" s="17" t="n">
        <v>0.7777</v>
      </c>
      <c r="L21" s="17" t="n">
        <v>1.6574</v>
      </c>
      <c r="M21" s="17" t="n">
        <v>0.3323</v>
      </c>
    </row>
    <row r="22" customFormat="false" ht="15" hidden="false" customHeight="false" outlineLevel="0" collapsed="false">
      <c r="A22" s="9" t="s">
        <v>155</v>
      </c>
      <c r="B22" s="17" t="n">
        <v>6.3969</v>
      </c>
      <c r="C22" s="17" t="n">
        <v>0.0855</v>
      </c>
      <c r="D22" s="17" t="n">
        <v>0.9686</v>
      </c>
      <c r="E22" s="17" t="n">
        <v>0.0215</v>
      </c>
      <c r="F22" s="17" t="n">
        <v>1.6218</v>
      </c>
      <c r="G22" s="17" t="n">
        <v>0.2543</v>
      </c>
      <c r="H22" s="17" t="n">
        <v>10.7003</v>
      </c>
      <c r="I22" s="17" t="n">
        <v>0.6682</v>
      </c>
      <c r="J22" s="17" t="n">
        <v>0.0095</v>
      </c>
      <c r="K22" s="17" t="n">
        <v>0.7641</v>
      </c>
      <c r="L22" s="17" t="n">
        <v>1.6452</v>
      </c>
      <c r="M22" s="17" t="n">
        <v>0.3998</v>
      </c>
    </row>
    <row r="23" customFormat="false" ht="15" hidden="false" customHeight="false" outlineLevel="0" collapsed="false">
      <c r="A23" s="9" t="s">
        <v>156</v>
      </c>
      <c r="B23" s="17" t="n">
        <v>6.6372</v>
      </c>
      <c r="C23" s="17" t="n">
        <v>0.1923</v>
      </c>
      <c r="D23" s="17" t="n">
        <v>1.114</v>
      </c>
      <c r="E23" s="17" t="n">
        <v>0.0159</v>
      </c>
      <c r="F23" s="17" t="n">
        <v>1.1319</v>
      </c>
      <c r="G23" s="17" t="n">
        <v>1.6217</v>
      </c>
      <c r="H23" s="17" t="n">
        <v>10.1071</v>
      </c>
      <c r="I23" s="17" t="n">
        <v>0.5004</v>
      </c>
      <c r="J23" s="17" t="n">
        <v>0.0307</v>
      </c>
      <c r="K23" s="17" t="n">
        <v>0.7901</v>
      </c>
      <c r="L23" s="17" t="n">
        <v>0.9501</v>
      </c>
      <c r="M23" s="17" t="n">
        <v>0.3848</v>
      </c>
    </row>
    <row r="24" customFormat="false" ht="15" hidden="false" customHeight="false" outlineLevel="0" collapsed="false">
      <c r="A24" s="9" t="s">
        <v>157</v>
      </c>
      <c r="B24" s="17" t="n">
        <v>7.0035</v>
      </c>
      <c r="C24" s="17" t="n">
        <v>0.129</v>
      </c>
      <c r="D24" s="17" t="n">
        <v>1.0253</v>
      </c>
      <c r="E24" s="17" t="n">
        <v>0.0298</v>
      </c>
      <c r="F24" s="17" t="n">
        <v>1.5598</v>
      </c>
      <c r="G24" s="17" t="n">
        <v>1.304</v>
      </c>
      <c r="H24" s="17" t="n">
        <v>16.3631</v>
      </c>
      <c r="I24" s="17" t="n">
        <v>0.4807</v>
      </c>
      <c r="J24" s="17" t="n">
        <v>0.0328</v>
      </c>
      <c r="K24" s="17" t="n">
        <v>0.6994</v>
      </c>
      <c r="L24" s="17" t="n">
        <v>1.3593</v>
      </c>
      <c r="M24" s="17" t="n">
        <v>0.322</v>
      </c>
    </row>
    <row r="25" customFormat="false" ht="15" hidden="false" customHeight="false" outlineLevel="0" collapsed="false">
      <c r="A25" s="12" t="s">
        <v>158</v>
      </c>
      <c r="B25" s="18" t="n">
        <f aca="false">AVERAGE(B5:B24)</f>
        <v>6.612535</v>
      </c>
      <c r="C25" s="18" t="n">
        <f aca="false">AVERAGE(C5:C24)</f>
        <v>0.11502</v>
      </c>
      <c r="D25" s="18" t="n">
        <f aca="false">AVERAGE(D5:D24)</f>
        <v>1.044265</v>
      </c>
      <c r="E25" s="18" t="n">
        <f aca="false">AVERAGE(E5:E24)</f>
        <v>0.019055</v>
      </c>
      <c r="F25" s="18" t="n">
        <f aca="false">AVERAGE(F5:F24)</f>
        <v>1.37415</v>
      </c>
      <c r="G25" s="18" t="n">
        <f aca="false">AVERAGE(G5:G24)</f>
        <v>0.92741</v>
      </c>
      <c r="H25" s="18" t="n">
        <f aca="false">AVERAGE(H5:H24)</f>
        <v>9.51925</v>
      </c>
      <c r="I25" s="18" t="n">
        <f aca="false">AVERAGE(I5:I24)</f>
        <v>0.494815</v>
      </c>
      <c r="J25" s="18" t="n">
        <f aca="false">AVERAGE(J5:J24)</f>
        <v>0.035245</v>
      </c>
      <c r="K25" s="18" t="n">
        <f aca="false">AVERAGE(K5:K24)</f>
        <v>0.783455</v>
      </c>
      <c r="L25" s="18" t="n">
        <f aca="false">AVERAGE(L5:L24)</f>
        <v>1.42118</v>
      </c>
      <c r="M25" s="18" t="n">
        <f aca="false">AVERAGE(M5:M24)</f>
        <v>0.361105</v>
      </c>
    </row>
    <row r="26" customFormat="false" ht="15" hidden="false" customHeight="false" outlineLevel="0" collapsed="false">
      <c r="A26" s="12" t="s">
        <v>159</v>
      </c>
      <c r="B26" s="18" t="n">
        <f aca="false">STDEV(B5:B24)</f>
        <v>0.499848163550956</v>
      </c>
      <c r="C26" s="18" t="n">
        <f aca="false">STDEV(C5:C24)</f>
        <v>0.0383004960803382</v>
      </c>
      <c r="D26" s="18" t="n">
        <f aca="false">STDEV(D5:D24)</f>
        <v>0.0933675998970002</v>
      </c>
      <c r="E26" s="18" t="n">
        <f aca="false">STDEV(E5:E24)</f>
        <v>0.00416027263782707</v>
      </c>
      <c r="F26" s="18" t="n">
        <f aca="false">STDEV(F5:F24)</f>
        <v>0.648846020578883</v>
      </c>
      <c r="G26" s="18" t="n">
        <f aca="false">STDEV(G5:G24)</f>
        <v>0.775074043254137</v>
      </c>
      <c r="H26" s="18" t="n">
        <f aca="false">STDEV(H5:H24)</f>
        <v>2.47272698484466</v>
      </c>
      <c r="I26" s="18" t="n">
        <f aca="false">STDEV(I5:I24)</f>
        <v>0.125251953551316</v>
      </c>
      <c r="J26" s="18" t="n">
        <f aca="false">STDEV(J5:J24)</f>
        <v>0.0140906641358551</v>
      </c>
      <c r="K26" s="18" t="n">
        <f aca="false">STDEV(K5:K24)</f>
        <v>0.0724548968596835</v>
      </c>
      <c r="L26" s="18" t="n">
        <f aca="false">STDEV(L5:L24)</f>
        <v>0.294454225912781</v>
      </c>
      <c r="M26" s="18" t="n">
        <f aca="false">STDEV(M5:M24)</f>
        <v>0.166387447258689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20"/>
  </cols>
  <sheetData>
    <row r="1" customFormat="false" ht="15" hidden="false" customHeight="false" outlineLevel="0" collapsed="false">
      <c r="A1" s="1" t="s">
        <v>160</v>
      </c>
    </row>
    <row r="2" customFormat="false" ht="15" hidden="false" customHeight="false" outlineLevel="0" collapsed="false">
      <c r="A2" s="2" t="s">
        <v>161</v>
      </c>
    </row>
    <row r="4" customFormat="false" ht="15" hidden="false" customHeight="false" outlineLevel="0" collapsed="false">
      <c r="A4" s="8" t="s">
        <v>162</v>
      </c>
      <c r="B4" s="8" t="s">
        <v>163</v>
      </c>
      <c r="C4" s="8" t="s">
        <v>164</v>
      </c>
      <c r="D4" s="8" t="s">
        <v>165</v>
      </c>
    </row>
    <row r="5" customFormat="false" ht="15" hidden="false" customHeight="false" outlineLevel="0" collapsed="false">
      <c r="A5" s="10" t="s">
        <v>126</v>
      </c>
      <c r="B5" s="19" t="n">
        <v>216.28</v>
      </c>
      <c r="C5" s="20" t="n">
        <v>2.55428135742758E-038</v>
      </c>
      <c r="D5" s="13" t="s">
        <v>166</v>
      </c>
    </row>
    <row r="6" customFormat="false" ht="15" hidden="false" customHeight="false" outlineLevel="0" collapsed="false">
      <c r="A6" s="10" t="s">
        <v>127</v>
      </c>
      <c r="B6" s="19" t="n">
        <v>249.23</v>
      </c>
      <c r="C6" s="20" t="n">
        <v>4.14469250711542E-045</v>
      </c>
      <c r="D6" s="13" t="s">
        <v>166</v>
      </c>
    </row>
    <row r="7" customFormat="false" ht="15" hidden="false" customHeight="false" outlineLevel="0" collapsed="false">
      <c r="A7" s="10" t="s">
        <v>128</v>
      </c>
      <c r="B7" s="19" t="n">
        <v>216.28</v>
      </c>
      <c r="C7" s="20" t="n">
        <v>2.55428135742758E-038</v>
      </c>
      <c r="D7" s="13" t="s">
        <v>166</v>
      </c>
    </row>
    <row r="8" customFormat="false" ht="15" hidden="false" customHeight="false" outlineLevel="0" collapsed="false">
      <c r="A8" s="10" t="s">
        <v>129</v>
      </c>
      <c r="B8" s="19" t="n">
        <v>259.58</v>
      </c>
      <c r="C8" s="20" t="n">
        <v>2.9912990867712E-047</v>
      </c>
      <c r="D8" s="13" t="s">
        <v>166</v>
      </c>
    </row>
    <row r="9" customFormat="false" ht="15" hidden="false" customHeight="false" outlineLevel="0" collapsed="false">
      <c r="A9" s="10" t="s">
        <v>130</v>
      </c>
      <c r="B9" s="19" t="n">
        <v>209.3</v>
      </c>
      <c r="C9" s="20" t="n">
        <v>6.89490861461014E-037</v>
      </c>
      <c r="D9" s="13" t="s">
        <v>166</v>
      </c>
    </row>
    <row r="10" customFormat="false" ht="15" hidden="false" customHeight="false" outlineLevel="0" collapsed="false">
      <c r="A10" s="10" t="s">
        <v>131</v>
      </c>
      <c r="B10" s="19" t="n">
        <v>199.09</v>
      </c>
      <c r="C10" s="20" t="n">
        <v>8.42290904537201E-035</v>
      </c>
      <c r="D10" s="13" t="s">
        <v>166</v>
      </c>
    </row>
    <row r="11" customFormat="false" ht="15" hidden="false" customHeight="false" outlineLevel="0" collapsed="false">
      <c r="A11" s="10" t="s">
        <v>132</v>
      </c>
      <c r="B11" s="19" t="n">
        <v>261.11</v>
      </c>
      <c r="C11" s="20" t="n">
        <v>1.43967705273272E-047</v>
      </c>
      <c r="D11" s="13" t="s">
        <v>166</v>
      </c>
    </row>
    <row r="12" customFormat="false" ht="15" hidden="false" customHeight="false" outlineLevel="0" collapsed="false">
      <c r="A12" s="10" t="s">
        <v>133</v>
      </c>
      <c r="B12" s="19" t="n">
        <v>217.56</v>
      </c>
      <c r="C12" s="20" t="n">
        <v>1.39583238692851E-038</v>
      </c>
      <c r="D12" s="13" t="s">
        <v>166</v>
      </c>
    </row>
    <row r="13" customFormat="false" ht="15" hidden="false" customHeight="false" outlineLevel="0" collapsed="false">
      <c r="A13" s="10" t="s">
        <v>134</v>
      </c>
      <c r="B13" s="19" t="n">
        <v>257.39</v>
      </c>
      <c r="C13" s="20" t="n">
        <v>8.49324853666072E-047</v>
      </c>
      <c r="D13" s="13" t="s">
        <v>166</v>
      </c>
    </row>
    <row r="14" customFormat="false" ht="15" hidden="false" customHeight="false" outlineLevel="0" collapsed="false">
      <c r="A14" s="10" t="s">
        <v>135</v>
      </c>
      <c r="B14" s="19" t="n">
        <v>264.28</v>
      </c>
      <c r="C14" s="20" t="n">
        <v>3.17554967446024E-048</v>
      </c>
      <c r="D14" s="13" t="s">
        <v>166</v>
      </c>
    </row>
    <row r="15" customFormat="false" ht="15" hidden="false" customHeight="false" outlineLevel="0" collapsed="false">
      <c r="A15" s="10" t="s">
        <v>136</v>
      </c>
      <c r="B15" s="19" t="n">
        <v>157.8</v>
      </c>
      <c r="C15" s="20" t="n">
        <v>1.96412097627925E-026</v>
      </c>
      <c r="D15" s="13" t="s">
        <v>166</v>
      </c>
    </row>
    <row r="16" customFormat="false" ht="15" hidden="false" customHeight="false" outlineLevel="0" collapsed="false">
      <c r="A16" s="10" t="s">
        <v>137</v>
      </c>
      <c r="B16" s="19" t="n">
        <v>237.84</v>
      </c>
      <c r="C16" s="20" t="n">
        <v>9.31772278171164E-043</v>
      </c>
      <c r="D16" s="13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0"/>
    <col collapsed="false" customWidth="true" hidden="false" outlineLevel="0" max="4" min="4" style="0" width="15"/>
    <col collapsed="false" customWidth="true" hidden="false" outlineLevel="0" max="5" min="5" style="0" width="12"/>
    <col collapsed="false" customWidth="true" hidden="false" outlineLevel="0" max="7" min="6" style="0" width="11"/>
    <col collapsed="false" customWidth="true" hidden="false" outlineLevel="0" max="8" min="8" style="0" width="9"/>
    <col collapsed="false" customWidth="true" hidden="false" outlineLevel="0" max="9" min="9" style="0" width="11"/>
  </cols>
  <sheetData>
    <row r="1" customFormat="false" ht="15" hidden="false" customHeight="false" outlineLevel="0" collapsed="false">
      <c r="A1" s="1" t="s">
        <v>167</v>
      </c>
    </row>
    <row r="2" customFormat="false" ht="15" hidden="false" customHeight="false" outlineLevel="0" collapsed="false">
      <c r="A2" s="2" t="s">
        <v>168</v>
      </c>
    </row>
    <row r="4" customFormat="false" ht="15" hidden="false" customHeight="false" outlineLevel="0" collapsed="false">
      <c r="A4" s="8" t="s">
        <v>169</v>
      </c>
      <c r="B4" s="8" t="s">
        <v>162</v>
      </c>
      <c r="C4" s="8" t="s">
        <v>170</v>
      </c>
      <c r="D4" s="8" t="s">
        <v>171</v>
      </c>
      <c r="E4" s="8" t="s">
        <v>172</v>
      </c>
      <c r="F4" s="8" t="s">
        <v>173</v>
      </c>
      <c r="G4" s="8" t="s">
        <v>174</v>
      </c>
      <c r="H4" s="8" t="s">
        <v>175</v>
      </c>
      <c r="I4" s="8" t="s">
        <v>176</v>
      </c>
    </row>
    <row r="5" customFormat="false" ht="15" hidden="false" customHeight="false" outlineLevel="0" collapsed="false">
      <c r="A5" s="9" t="s">
        <v>177</v>
      </c>
      <c r="B5" s="10" t="s">
        <v>126</v>
      </c>
      <c r="C5" s="15" t="n">
        <v>1</v>
      </c>
      <c r="D5" s="11" t="n">
        <v>6.6125</v>
      </c>
      <c r="E5" s="11" t="n">
        <v>6.7217</v>
      </c>
      <c r="F5" s="20" t="n">
        <v>3.814697265625E-006</v>
      </c>
      <c r="G5" s="20" t="n">
        <v>1.1444091796875E-005</v>
      </c>
      <c r="H5" s="21" t="n">
        <v>-0.99</v>
      </c>
      <c r="I5" s="13" t="str">
        <f aca="false">IF(G5&gt;=0.05,"≈",IF((D5-E5)*C5&gt;0,"mejor","peor"))</f>
        <v>peor</v>
      </c>
    </row>
    <row r="6" customFormat="false" ht="15" hidden="false" customHeight="false" outlineLevel="0" collapsed="false">
      <c r="A6" s="9" t="s">
        <v>177</v>
      </c>
      <c r="B6" s="10" t="s">
        <v>127</v>
      </c>
      <c r="C6" s="15" t="n">
        <v>1</v>
      </c>
      <c r="D6" s="11" t="n">
        <v>0.115</v>
      </c>
      <c r="E6" s="11" t="n">
        <v>0.1246</v>
      </c>
      <c r="F6" s="20" t="n">
        <v>1.9073486328125E-005</v>
      </c>
      <c r="G6" s="20" t="n">
        <v>3.814697265625E-005</v>
      </c>
      <c r="H6" s="21" t="n">
        <v>-0.95</v>
      </c>
      <c r="I6" s="13" t="str">
        <f aca="false">IF(G6&gt;=0.05,"≈",IF((D6-E6)*C6&gt;0,"mejor","peor"))</f>
        <v>peor</v>
      </c>
    </row>
    <row r="7" customFormat="false" ht="15" hidden="false" customHeight="false" outlineLevel="0" collapsed="false">
      <c r="A7" s="9" t="s">
        <v>177</v>
      </c>
      <c r="B7" s="10" t="s">
        <v>128</v>
      </c>
      <c r="C7" s="15" t="n">
        <v>1</v>
      </c>
      <c r="D7" s="11" t="n">
        <v>1.0443</v>
      </c>
      <c r="E7" s="11" t="n">
        <v>1.0618</v>
      </c>
      <c r="F7" s="20" t="n">
        <v>3.814697265625E-006</v>
      </c>
      <c r="G7" s="20" t="n">
        <v>1.1444091796875E-005</v>
      </c>
      <c r="H7" s="21" t="n">
        <v>-0.99</v>
      </c>
      <c r="I7" s="13" t="str">
        <f aca="false">IF(G7&gt;=0.05,"≈",IF((D7-E7)*C7&gt;0,"mejor","peor"))</f>
        <v>peor</v>
      </c>
    </row>
    <row r="8" customFormat="false" ht="15" hidden="false" customHeight="false" outlineLevel="0" collapsed="false">
      <c r="A8" s="9" t="s">
        <v>177</v>
      </c>
      <c r="B8" s="10" t="s">
        <v>129</v>
      </c>
      <c r="C8" s="15" t="n">
        <v>1</v>
      </c>
      <c r="D8" s="11" t="n">
        <v>0.0191</v>
      </c>
      <c r="E8" s="11" t="n">
        <v>0.0235</v>
      </c>
      <c r="F8" s="20" t="n">
        <v>3.814697265625E-006</v>
      </c>
      <c r="G8" s="20" t="n">
        <v>1.1444091796875E-005</v>
      </c>
      <c r="H8" s="21" t="n">
        <v>-0.99</v>
      </c>
      <c r="I8" s="13" t="str">
        <f aca="false">IF(G8&gt;=0.05,"≈",IF((D8-E8)*C8&gt;0,"mejor","peor"))</f>
        <v>peor</v>
      </c>
    </row>
    <row r="9" customFormat="false" ht="15" hidden="false" customHeight="false" outlineLevel="0" collapsed="false">
      <c r="A9" s="9" t="s">
        <v>177</v>
      </c>
      <c r="B9" s="10" t="s">
        <v>130</v>
      </c>
      <c r="C9" s="15" t="n">
        <v>1</v>
      </c>
      <c r="D9" s="11" t="n">
        <v>1.3741</v>
      </c>
      <c r="E9" s="11" t="n">
        <v>1.3628</v>
      </c>
      <c r="F9" s="20" t="n">
        <v>0.0120792388916015</v>
      </c>
      <c r="G9" s="20" t="n">
        <v>0.0120792388916015</v>
      </c>
      <c r="H9" s="21" t="n">
        <v>0.63</v>
      </c>
      <c r="I9" s="13" t="str">
        <f aca="false">IF(G9&gt;=0.05,"≈",IF((D9-E9)*C9&gt;0,"mejor","peor"))</f>
        <v>mejor</v>
      </c>
    </row>
    <row r="10" customFormat="false" ht="15" hidden="false" customHeight="false" outlineLevel="0" collapsed="false">
      <c r="A10" s="9" t="s">
        <v>177</v>
      </c>
      <c r="B10" s="10" t="s">
        <v>131</v>
      </c>
      <c r="C10" s="15" t="n">
        <v>1</v>
      </c>
      <c r="D10" s="11" t="n">
        <v>0.9274</v>
      </c>
      <c r="E10" s="11" t="n">
        <v>0.914</v>
      </c>
      <c r="F10" s="20" t="n">
        <v>0.0192337036132812</v>
      </c>
      <c r="G10" s="20" t="n">
        <v>0.0384674072265625</v>
      </c>
      <c r="H10" s="21" t="n">
        <v>0.59</v>
      </c>
      <c r="I10" s="13" t="str">
        <f aca="false">IF(G10&gt;=0.05,"≈",IF((D10-E10)*C10&gt;0,"mejor","peor"))</f>
        <v>mejor</v>
      </c>
    </row>
    <row r="11" customFormat="false" ht="15" hidden="false" customHeight="false" outlineLevel="0" collapsed="false">
      <c r="A11" s="9" t="s">
        <v>177</v>
      </c>
      <c r="B11" s="10" t="s">
        <v>132</v>
      </c>
      <c r="C11" s="15" t="n">
        <v>1</v>
      </c>
      <c r="D11" s="11" t="n">
        <v>9.5192</v>
      </c>
      <c r="E11" s="11" t="n">
        <v>11.9234</v>
      </c>
      <c r="F11" s="20" t="n">
        <v>3.814697265625E-006</v>
      </c>
      <c r="G11" s="20" t="n">
        <v>1.1444091796875E-005</v>
      </c>
      <c r="H11" s="21" t="n">
        <v>-0.99</v>
      </c>
      <c r="I11" s="13" t="str">
        <f aca="false">IF(G11&gt;=0.05,"≈",IF((D11-E11)*C11&gt;0,"mejor","peor"))</f>
        <v>peor</v>
      </c>
    </row>
    <row r="12" customFormat="false" ht="15" hidden="false" customHeight="false" outlineLevel="0" collapsed="false">
      <c r="A12" s="9" t="s">
        <v>177</v>
      </c>
      <c r="B12" s="10" t="s">
        <v>133</v>
      </c>
      <c r="C12" s="15" t="n">
        <v>1</v>
      </c>
      <c r="D12" s="11" t="n">
        <v>0.4948</v>
      </c>
      <c r="E12" s="11" t="n">
        <v>0.4583</v>
      </c>
      <c r="F12" s="20" t="n">
        <v>0.595819473266602</v>
      </c>
      <c r="G12" s="20" t="n">
        <v>0.904750823974609</v>
      </c>
      <c r="H12" s="21" t="n">
        <v>0.14</v>
      </c>
      <c r="I12" s="13" t="str">
        <f aca="false">IF(G12&gt;=0.05,"≈",IF((D12-E12)*C12&gt;0,"mejor","peor"))</f>
        <v>≈</v>
      </c>
    </row>
    <row r="13" customFormat="false" ht="15" hidden="false" customHeight="false" outlineLevel="0" collapsed="false">
      <c r="A13" s="9" t="s">
        <v>177</v>
      </c>
      <c r="B13" s="10" t="s">
        <v>134</v>
      </c>
      <c r="C13" s="15" t="n">
        <v>-1</v>
      </c>
      <c r="D13" s="11" t="n">
        <v>0.0353</v>
      </c>
      <c r="E13" s="11" t="n">
        <v>0.1168</v>
      </c>
      <c r="F13" s="20" t="n">
        <v>3.814697265625E-006</v>
      </c>
      <c r="G13" s="20" t="n">
        <v>1.1444091796875E-005</v>
      </c>
      <c r="H13" s="21" t="n">
        <v>-0.99</v>
      </c>
      <c r="I13" s="13" t="str">
        <f aca="false">IF(G13&gt;=0.05,"≈",IF((D13-E13)*C13&gt;0,"mejor","peor"))</f>
        <v>mejor</v>
      </c>
    </row>
    <row r="14" customFormat="false" ht="15" hidden="false" customHeight="false" outlineLevel="0" collapsed="false">
      <c r="A14" s="9" t="s">
        <v>177</v>
      </c>
      <c r="B14" s="10" t="s">
        <v>135</v>
      </c>
      <c r="C14" s="15" t="n">
        <v>1</v>
      </c>
      <c r="D14" s="11" t="n">
        <v>0.7835</v>
      </c>
      <c r="E14" s="11" t="n">
        <v>0.7392</v>
      </c>
      <c r="F14" s="20" t="n">
        <v>3.814697265625E-006</v>
      </c>
      <c r="G14" s="20" t="n">
        <v>1.1444091796875E-005</v>
      </c>
      <c r="H14" s="21" t="n">
        <v>0.99</v>
      </c>
      <c r="I14" s="13" t="str">
        <f aca="false">IF(G14&gt;=0.05,"≈",IF((D14-E14)*C14&gt;0,"mejor","peor"))</f>
        <v>mejor</v>
      </c>
    </row>
    <row r="15" customFormat="false" ht="15" hidden="false" customHeight="false" outlineLevel="0" collapsed="false">
      <c r="A15" s="9" t="s">
        <v>177</v>
      </c>
      <c r="B15" s="10" t="s">
        <v>136</v>
      </c>
      <c r="C15" s="15" t="n">
        <v>1</v>
      </c>
      <c r="D15" s="11" t="n">
        <v>1.4212</v>
      </c>
      <c r="E15" s="11" t="n">
        <v>1.4302</v>
      </c>
      <c r="F15" s="20" t="n">
        <v>0.164957046508789</v>
      </c>
      <c r="G15" s="20" t="n">
        <v>0.179389953613281</v>
      </c>
      <c r="H15" s="21" t="n">
        <v>-0.36</v>
      </c>
      <c r="I15" s="13" t="str">
        <f aca="false">IF(G15&gt;=0.05,"≈",IF((D15-E15)*C15&gt;0,"mejor","peor"))</f>
        <v>≈</v>
      </c>
    </row>
    <row r="16" customFormat="false" ht="15" hidden="false" customHeight="false" outlineLevel="0" collapsed="false">
      <c r="A16" s="9" t="s">
        <v>177</v>
      </c>
      <c r="B16" s="10" t="s">
        <v>137</v>
      </c>
      <c r="C16" s="15" t="n">
        <v>1</v>
      </c>
      <c r="D16" s="11" t="n">
        <v>0.3611</v>
      </c>
      <c r="E16" s="11" t="n">
        <v>0.3564</v>
      </c>
      <c r="F16" s="20" t="n">
        <v>0.189348220825195</v>
      </c>
      <c r="G16" s="20" t="n">
        <v>0.189348220825195</v>
      </c>
      <c r="H16" s="21" t="n">
        <v>0.34</v>
      </c>
      <c r="I16" s="13" t="str">
        <f aca="false">IF(G16&gt;=0.05,"≈",IF((D16-E16)*C16&gt;0,"mejor","peor"))</f>
        <v>≈</v>
      </c>
    </row>
    <row r="17" customFormat="false" ht="15" hidden="false" customHeight="false" outlineLevel="0" collapsed="false">
      <c r="A17" s="9" t="s">
        <v>112</v>
      </c>
      <c r="B17" s="10" t="s">
        <v>126</v>
      </c>
      <c r="C17" s="15" t="n">
        <v>1</v>
      </c>
      <c r="D17" s="11" t="n">
        <v>6.6125</v>
      </c>
      <c r="E17" s="11" t="n">
        <v>6.835</v>
      </c>
      <c r="F17" s="20" t="n">
        <v>0.0008506774902343</v>
      </c>
      <c r="G17" s="20" t="n">
        <v>0.0008506774902343</v>
      </c>
      <c r="H17" s="21" t="n">
        <v>-0.8</v>
      </c>
      <c r="I17" s="13" t="str">
        <f aca="false">IF(G17&gt;=0.05,"≈",IF((D17-E17)*C17&gt;0,"mejor","peor"))</f>
        <v>peor</v>
      </c>
    </row>
    <row r="18" customFormat="false" ht="15" hidden="false" customHeight="false" outlineLevel="0" collapsed="false">
      <c r="A18" s="9" t="s">
        <v>112</v>
      </c>
      <c r="B18" s="10" t="s">
        <v>127</v>
      </c>
      <c r="C18" s="15" t="n">
        <v>1</v>
      </c>
      <c r="D18" s="11" t="n">
        <v>0.115</v>
      </c>
      <c r="E18" s="11" t="n">
        <v>0.1548</v>
      </c>
      <c r="F18" s="20" t="n">
        <v>5.7220458984375E-006</v>
      </c>
      <c r="G18" s="20" t="n">
        <v>1.71661376953125E-005</v>
      </c>
      <c r="H18" s="21" t="n">
        <v>-0.98</v>
      </c>
      <c r="I18" s="13" t="str">
        <f aca="false">IF(G18&gt;=0.05,"≈",IF((D18-E18)*C18&gt;0,"mejor","peor"))</f>
        <v>peor</v>
      </c>
    </row>
    <row r="19" customFormat="false" ht="15" hidden="false" customHeight="false" outlineLevel="0" collapsed="false">
      <c r="A19" s="9" t="s">
        <v>112</v>
      </c>
      <c r="B19" s="10" t="s">
        <v>128</v>
      </c>
      <c r="C19" s="15" t="n">
        <v>1</v>
      </c>
      <c r="D19" s="11" t="n">
        <v>1.0443</v>
      </c>
      <c r="E19" s="11" t="n">
        <v>1.0792</v>
      </c>
      <c r="F19" s="20" t="n">
        <v>0.001016616821289</v>
      </c>
      <c r="G19" s="20" t="n">
        <v>0.001016616821289</v>
      </c>
      <c r="H19" s="21" t="n">
        <v>-0.79</v>
      </c>
      <c r="I19" s="13" t="str">
        <f aca="false">IF(G19&gt;=0.05,"≈",IF((D19-E19)*C19&gt;0,"mejor","peor"))</f>
        <v>peor</v>
      </c>
    </row>
    <row r="20" customFormat="false" ht="15" hidden="false" customHeight="false" outlineLevel="0" collapsed="false">
      <c r="A20" s="9" t="s">
        <v>112</v>
      </c>
      <c r="B20" s="10" t="s">
        <v>129</v>
      </c>
      <c r="C20" s="15" t="n">
        <v>1</v>
      </c>
      <c r="D20" s="11" t="n">
        <v>0.0191</v>
      </c>
      <c r="E20" s="11" t="n">
        <v>0.0248</v>
      </c>
      <c r="F20" s="20" t="n">
        <v>3.814697265625E-006</v>
      </c>
      <c r="G20" s="20" t="n">
        <v>1.1444091796875E-005</v>
      </c>
      <c r="H20" s="21" t="n">
        <v>-0.99</v>
      </c>
      <c r="I20" s="13" t="str">
        <f aca="false">IF(G20&gt;=0.05,"≈",IF((D20-E20)*C20&gt;0,"mejor","peor"))</f>
        <v>peor</v>
      </c>
    </row>
    <row r="21" customFormat="false" ht="15" hidden="false" customHeight="false" outlineLevel="0" collapsed="false">
      <c r="A21" s="9" t="s">
        <v>112</v>
      </c>
      <c r="B21" s="10" t="s">
        <v>130</v>
      </c>
      <c r="C21" s="15" t="n">
        <v>1</v>
      </c>
      <c r="D21" s="11" t="n">
        <v>1.3741</v>
      </c>
      <c r="E21" s="11" t="n">
        <v>2.1183</v>
      </c>
      <c r="F21" s="20" t="n">
        <v>0.0004825592041015</v>
      </c>
      <c r="G21" s="20" t="n">
        <v>0.0014476776123046</v>
      </c>
      <c r="H21" s="21" t="n">
        <v>-0.83</v>
      </c>
      <c r="I21" s="13" t="str">
        <f aca="false">IF(G21&gt;=0.05,"≈",IF((D21-E21)*C21&gt;0,"mejor","peor"))</f>
        <v>peor</v>
      </c>
    </row>
    <row r="22" customFormat="false" ht="15" hidden="false" customHeight="false" outlineLevel="0" collapsed="false">
      <c r="A22" s="9" t="s">
        <v>112</v>
      </c>
      <c r="B22" s="10" t="s">
        <v>131</v>
      </c>
      <c r="C22" s="15" t="n">
        <v>1</v>
      </c>
      <c r="D22" s="11" t="n">
        <v>0.9274</v>
      </c>
      <c r="E22" s="11" t="n">
        <v>1.0717</v>
      </c>
      <c r="F22" s="20" t="n">
        <v>0.0637226104736328</v>
      </c>
      <c r="G22" s="20" t="n">
        <v>0.0637226104736328</v>
      </c>
      <c r="H22" s="21" t="n">
        <v>-0.48</v>
      </c>
      <c r="I22" s="13" t="str">
        <f aca="false">IF(G22&gt;=0.05,"≈",IF((D22-E22)*C22&gt;0,"mejor","peor"))</f>
        <v>≈</v>
      </c>
    </row>
    <row r="23" customFormat="false" ht="15" hidden="false" customHeight="false" outlineLevel="0" collapsed="false">
      <c r="A23" s="9" t="s">
        <v>112</v>
      </c>
      <c r="B23" s="10" t="s">
        <v>132</v>
      </c>
      <c r="C23" s="15" t="n">
        <v>1</v>
      </c>
      <c r="D23" s="11" t="n">
        <v>9.5192</v>
      </c>
      <c r="E23" s="11" t="n">
        <v>13.04</v>
      </c>
      <c r="F23" s="20" t="n">
        <v>3.814697265625E-006</v>
      </c>
      <c r="G23" s="20" t="n">
        <v>1.1444091796875E-005</v>
      </c>
      <c r="H23" s="21" t="n">
        <v>-0.99</v>
      </c>
      <c r="I23" s="13" t="str">
        <f aca="false">IF(G23&gt;=0.05,"≈",IF((D23-E23)*C23&gt;0,"mejor","peor"))</f>
        <v>peor</v>
      </c>
    </row>
    <row r="24" customFormat="false" ht="15" hidden="false" customHeight="false" outlineLevel="0" collapsed="false">
      <c r="A24" s="9" t="s">
        <v>112</v>
      </c>
      <c r="B24" s="10" t="s">
        <v>133</v>
      </c>
      <c r="C24" s="15" t="n">
        <v>1</v>
      </c>
      <c r="D24" s="11" t="n">
        <v>0.4948</v>
      </c>
      <c r="E24" s="11" t="n">
        <v>0.4419</v>
      </c>
      <c r="F24" s="20" t="n">
        <v>0.452375411987305</v>
      </c>
      <c r="G24" s="20" t="n">
        <v>0.904750823974609</v>
      </c>
      <c r="H24" s="21" t="n">
        <v>0.2</v>
      </c>
      <c r="I24" s="13" t="str">
        <f aca="false">IF(G24&gt;=0.05,"≈",IF((D24-E24)*C24&gt;0,"mejor","peor"))</f>
        <v>≈</v>
      </c>
    </row>
    <row r="25" customFormat="false" ht="15" hidden="false" customHeight="false" outlineLevel="0" collapsed="false">
      <c r="A25" s="9" t="s">
        <v>112</v>
      </c>
      <c r="B25" s="10" t="s">
        <v>134</v>
      </c>
      <c r="C25" s="15" t="n">
        <v>-1</v>
      </c>
      <c r="D25" s="11" t="n">
        <v>0.0353</v>
      </c>
      <c r="E25" s="11" t="n">
        <v>0.108</v>
      </c>
      <c r="F25" s="20" t="n">
        <v>9.5367431640625E-006</v>
      </c>
      <c r="G25" s="20" t="n">
        <v>1.1444091796875E-005</v>
      </c>
      <c r="H25" s="21" t="n">
        <v>-0.97</v>
      </c>
      <c r="I25" s="13" t="str">
        <f aca="false">IF(G25&gt;=0.05,"≈",IF((D25-E25)*C25&gt;0,"mejor","peor"))</f>
        <v>mejor</v>
      </c>
    </row>
    <row r="26" customFormat="false" ht="15" hidden="false" customHeight="false" outlineLevel="0" collapsed="false">
      <c r="A26" s="9" t="s">
        <v>112</v>
      </c>
      <c r="B26" s="10" t="s">
        <v>135</v>
      </c>
      <c r="C26" s="15" t="n">
        <v>1</v>
      </c>
      <c r="D26" s="11" t="n">
        <v>0.7835</v>
      </c>
      <c r="E26" s="11" t="n">
        <v>0.7208</v>
      </c>
      <c r="F26" s="20" t="n">
        <v>3.814697265625E-006</v>
      </c>
      <c r="G26" s="20" t="n">
        <v>1.1444091796875E-005</v>
      </c>
      <c r="H26" s="21" t="n">
        <v>0.99</v>
      </c>
      <c r="I26" s="13" t="str">
        <f aca="false">IF(G26&gt;=0.05,"≈",IF((D26-E26)*C26&gt;0,"mejor","peor"))</f>
        <v>mejor</v>
      </c>
    </row>
    <row r="27" customFormat="false" ht="15" hidden="false" customHeight="false" outlineLevel="0" collapsed="false">
      <c r="A27" s="9" t="s">
        <v>112</v>
      </c>
      <c r="B27" s="10" t="s">
        <v>136</v>
      </c>
      <c r="C27" s="15" t="n">
        <v>1</v>
      </c>
      <c r="D27" s="11" t="n">
        <v>1.4212</v>
      </c>
      <c r="E27" s="11" t="n">
        <v>1.3217</v>
      </c>
      <c r="F27" s="20" t="n">
        <v>0.0896949768066406</v>
      </c>
      <c r="G27" s="20" t="n">
        <v>0.179389953613281</v>
      </c>
      <c r="H27" s="21" t="n">
        <v>0.44</v>
      </c>
      <c r="I27" s="13" t="str">
        <f aca="false">IF(G27&gt;=0.05,"≈",IF((D27-E27)*C27&gt;0,"mejor","peor"))</f>
        <v>≈</v>
      </c>
    </row>
    <row r="28" customFormat="false" ht="15" hidden="false" customHeight="false" outlineLevel="0" collapsed="false">
      <c r="A28" s="9" t="s">
        <v>112</v>
      </c>
      <c r="B28" s="10" t="s">
        <v>137</v>
      </c>
      <c r="C28" s="15" t="n">
        <v>1</v>
      </c>
      <c r="D28" s="11" t="n">
        <v>0.3611</v>
      </c>
      <c r="E28" s="11" t="n">
        <v>0.4101</v>
      </c>
      <c r="F28" s="20" t="n">
        <v>8.20159912109375E-005</v>
      </c>
      <c r="G28" s="20" t="n">
        <v>0.0001640319824218</v>
      </c>
      <c r="H28" s="21" t="n">
        <v>-0.9</v>
      </c>
      <c r="I28" s="13" t="str">
        <f aca="false">IF(G28&gt;=0.05,"≈",IF((D28-E28)*C28&gt;0,"mejor","peor"))</f>
        <v>peor</v>
      </c>
    </row>
    <row r="29" customFormat="false" ht="15" hidden="false" customHeight="false" outlineLevel="0" collapsed="false">
      <c r="A29" s="9" t="s">
        <v>113</v>
      </c>
      <c r="B29" s="10" t="s">
        <v>126</v>
      </c>
      <c r="C29" s="15" t="n">
        <v>1</v>
      </c>
      <c r="D29" s="11" t="n">
        <v>6.6125</v>
      </c>
      <c r="E29" s="11" t="n">
        <v>6.6645</v>
      </c>
      <c r="F29" s="20" t="n">
        <v>3.814697265625E-006</v>
      </c>
      <c r="G29" s="20" t="n">
        <v>1.1444091796875E-005</v>
      </c>
      <c r="H29" s="21" t="n">
        <v>-0.99</v>
      </c>
      <c r="I29" s="13" t="str">
        <f aca="false">IF(G29&gt;=0.05,"≈",IF((D29-E29)*C29&gt;0,"mejor","peor"))</f>
        <v>peor</v>
      </c>
    </row>
    <row r="30" customFormat="false" ht="15" hidden="false" customHeight="false" outlineLevel="0" collapsed="false">
      <c r="A30" s="9" t="s">
        <v>113</v>
      </c>
      <c r="B30" s="10" t="s">
        <v>127</v>
      </c>
      <c r="C30" s="15" t="n">
        <v>1</v>
      </c>
      <c r="D30" s="11" t="n">
        <v>0.115</v>
      </c>
      <c r="E30" s="11" t="n">
        <v>0.1167</v>
      </c>
      <c r="F30" s="20" t="n">
        <v>0.0008506774902343</v>
      </c>
      <c r="G30" s="20" t="n">
        <v>0.0008506774902343</v>
      </c>
      <c r="H30" s="21" t="n">
        <v>-0.8</v>
      </c>
      <c r="I30" s="13" t="str">
        <f aca="false">IF(G30&gt;=0.05,"≈",IF((D30-E30)*C30&gt;0,"mejor","peor"))</f>
        <v>peor</v>
      </c>
    </row>
    <row r="31" customFormat="false" ht="15" hidden="false" customHeight="false" outlineLevel="0" collapsed="false">
      <c r="A31" s="9" t="s">
        <v>113</v>
      </c>
      <c r="B31" s="10" t="s">
        <v>128</v>
      </c>
      <c r="C31" s="15" t="n">
        <v>1</v>
      </c>
      <c r="D31" s="11" t="n">
        <v>1.0443</v>
      </c>
      <c r="E31" s="11" t="n">
        <v>1.0529</v>
      </c>
      <c r="F31" s="20" t="n">
        <v>3.814697265625E-006</v>
      </c>
      <c r="G31" s="20" t="n">
        <v>1.1444091796875E-005</v>
      </c>
      <c r="H31" s="21" t="n">
        <v>-0.99</v>
      </c>
      <c r="I31" s="13" t="str">
        <f aca="false">IF(G31&gt;=0.05,"≈",IF((D31-E31)*C31&gt;0,"mejor","peor"))</f>
        <v>peor</v>
      </c>
    </row>
    <row r="32" customFormat="false" ht="15" hidden="false" customHeight="false" outlineLevel="0" collapsed="false">
      <c r="A32" s="9" t="s">
        <v>113</v>
      </c>
      <c r="B32" s="10" t="s">
        <v>129</v>
      </c>
      <c r="C32" s="15" t="n">
        <v>1</v>
      </c>
      <c r="D32" s="11" t="n">
        <v>0.0191</v>
      </c>
      <c r="E32" s="11" t="n">
        <v>0.0256</v>
      </c>
      <c r="F32" s="20" t="n">
        <v>3.814697265625E-006</v>
      </c>
      <c r="G32" s="20" t="n">
        <v>1.1444091796875E-005</v>
      </c>
      <c r="H32" s="21" t="n">
        <v>-0.99</v>
      </c>
      <c r="I32" s="13" t="str">
        <f aca="false">IF(G32&gt;=0.05,"≈",IF((D32-E32)*C32&gt;0,"mejor","peor"))</f>
        <v>peor</v>
      </c>
    </row>
    <row r="33" customFormat="false" ht="15" hidden="false" customHeight="false" outlineLevel="0" collapsed="false">
      <c r="A33" s="9" t="s">
        <v>113</v>
      </c>
      <c r="B33" s="10" t="s">
        <v>130</v>
      </c>
      <c r="C33" s="15" t="n">
        <v>1</v>
      </c>
      <c r="D33" s="11" t="n">
        <v>1.3741</v>
      </c>
      <c r="E33" s="11" t="n">
        <v>1.3038</v>
      </c>
      <c r="F33" s="20" t="n">
        <v>0.0007076263427734</v>
      </c>
      <c r="G33" s="20" t="n">
        <v>0.0014476776123046</v>
      </c>
      <c r="H33" s="21" t="n">
        <v>0.81</v>
      </c>
      <c r="I33" s="13" t="str">
        <f aca="false">IF(G33&gt;=0.05,"≈",IF((D33-E33)*C33&gt;0,"mejor","peor"))</f>
        <v>mejor</v>
      </c>
    </row>
    <row r="34" customFormat="false" ht="15" hidden="false" customHeight="false" outlineLevel="0" collapsed="false">
      <c r="A34" s="9" t="s">
        <v>113</v>
      </c>
      <c r="B34" s="10" t="s">
        <v>131</v>
      </c>
      <c r="C34" s="15" t="n">
        <v>1</v>
      </c>
      <c r="D34" s="11" t="n">
        <v>0.9274</v>
      </c>
      <c r="E34" s="11" t="n">
        <v>0.8843</v>
      </c>
      <c r="F34" s="20" t="n">
        <v>0.0007076263427734</v>
      </c>
      <c r="G34" s="20" t="n">
        <v>0.0021228790283203</v>
      </c>
      <c r="H34" s="21" t="n">
        <v>0.81</v>
      </c>
      <c r="I34" s="13" t="str">
        <f aca="false">IF(G34&gt;=0.05,"≈",IF((D34-E34)*C34&gt;0,"mejor","peor"))</f>
        <v>mejor</v>
      </c>
    </row>
    <row r="35" customFormat="false" ht="15" hidden="false" customHeight="false" outlineLevel="0" collapsed="false">
      <c r="A35" s="9" t="s">
        <v>113</v>
      </c>
      <c r="B35" s="10" t="s">
        <v>132</v>
      </c>
      <c r="C35" s="15" t="n">
        <v>1</v>
      </c>
      <c r="D35" s="11" t="n">
        <v>9.5192</v>
      </c>
      <c r="E35" s="11" t="n">
        <v>13.151</v>
      </c>
      <c r="F35" s="20" t="n">
        <v>3.814697265625E-006</v>
      </c>
      <c r="G35" s="20" t="n">
        <v>1.1444091796875E-005</v>
      </c>
      <c r="H35" s="21" t="n">
        <v>-0.99</v>
      </c>
      <c r="I35" s="13" t="str">
        <f aca="false">IF(G35&gt;=0.05,"≈",IF((D35-E35)*C35&gt;0,"mejor","peor"))</f>
        <v>peor</v>
      </c>
    </row>
    <row r="36" customFormat="false" ht="15" hidden="false" customHeight="false" outlineLevel="0" collapsed="false">
      <c r="A36" s="9" t="s">
        <v>113</v>
      </c>
      <c r="B36" s="10" t="s">
        <v>133</v>
      </c>
      <c r="C36" s="15" t="n">
        <v>1</v>
      </c>
      <c r="D36" s="11" t="n">
        <v>0.4948</v>
      </c>
      <c r="E36" s="11" t="n">
        <v>0.4762</v>
      </c>
      <c r="F36" s="20" t="n">
        <v>3.62396240234375E-005</v>
      </c>
      <c r="G36" s="20" t="n">
        <v>0.0001087188720703</v>
      </c>
      <c r="H36" s="21" t="n">
        <v>0.93</v>
      </c>
      <c r="I36" s="13" t="str">
        <f aca="false">IF(G36&gt;=0.05,"≈",IF((D36-E36)*C36&gt;0,"mejor","peor"))</f>
        <v>mejor</v>
      </c>
    </row>
    <row r="37" customFormat="false" ht="15" hidden="false" customHeight="false" outlineLevel="0" collapsed="false">
      <c r="A37" s="9" t="s">
        <v>113</v>
      </c>
      <c r="B37" s="10" t="s">
        <v>134</v>
      </c>
      <c r="C37" s="15" t="n">
        <v>-1</v>
      </c>
      <c r="D37" s="11" t="n">
        <v>0.0353</v>
      </c>
      <c r="E37" s="11" t="n">
        <v>0.1915</v>
      </c>
      <c r="F37" s="20" t="n">
        <v>3.814697265625E-006</v>
      </c>
      <c r="G37" s="20" t="n">
        <v>1.1444091796875E-005</v>
      </c>
      <c r="H37" s="21" t="n">
        <v>-0.99</v>
      </c>
      <c r="I37" s="13" t="str">
        <f aca="false">IF(G37&gt;=0.05,"≈",IF((D37-E37)*C37&gt;0,"mejor","peor"))</f>
        <v>mejor</v>
      </c>
    </row>
    <row r="38" customFormat="false" ht="15" hidden="false" customHeight="false" outlineLevel="0" collapsed="false">
      <c r="A38" s="9" t="s">
        <v>113</v>
      </c>
      <c r="B38" s="10" t="s">
        <v>135</v>
      </c>
      <c r="C38" s="15" t="n">
        <v>1</v>
      </c>
      <c r="D38" s="11" t="n">
        <v>0.7835</v>
      </c>
      <c r="E38" s="11" t="n">
        <v>0.7305</v>
      </c>
      <c r="F38" s="20" t="n">
        <v>3.814697265625E-006</v>
      </c>
      <c r="G38" s="20" t="n">
        <v>1.1444091796875E-005</v>
      </c>
      <c r="H38" s="21" t="n">
        <v>0.99</v>
      </c>
      <c r="I38" s="13" t="str">
        <f aca="false">IF(G38&gt;=0.05,"≈",IF((D38-E38)*C38&gt;0,"mejor","peor"))</f>
        <v>mejor</v>
      </c>
    </row>
    <row r="39" customFormat="false" ht="15" hidden="false" customHeight="false" outlineLevel="0" collapsed="false">
      <c r="A39" s="9" t="s">
        <v>113</v>
      </c>
      <c r="B39" s="10" t="s">
        <v>136</v>
      </c>
      <c r="C39" s="15" t="n">
        <v>1</v>
      </c>
      <c r="D39" s="11" t="n">
        <v>1.4212</v>
      </c>
      <c r="E39" s="11" t="n">
        <v>1.3208</v>
      </c>
      <c r="F39" s="20" t="n">
        <v>1.9073486328125E-006</v>
      </c>
      <c r="G39" s="20" t="n">
        <v>5.7220458984375E-006</v>
      </c>
      <c r="H39" s="21" t="n">
        <v>1</v>
      </c>
      <c r="I39" s="13" t="str">
        <f aca="false">IF(G39&gt;=0.05,"≈",IF((D39-E39)*C39&gt;0,"mejor","peor"))</f>
        <v>mejor</v>
      </c>
    </row>
    <row r="40" customFormat="false" ht="15" hidden="false" customHeight="false" outlineLevel="0" collapsed="false">
      <c r="A40" s="9" t="s">
        <v>113</v>
      </c>
      <c r="B40" s="10" t="s">
        <v>137</v>
      </c>
      <c r="C40" s="15" t="n">
        <v>1</v>
      </c>
      <c r="D40" s="11" t="n">
        <v>0.3611</v>
      </c>
      <c r="E40" s="11" t="n">
        <v>0.3067</v>
      </c>
      <c r="F40" s="20" t="n">
        <v>1.9073486328125E-006</v>
      </c>
      <c r="G40" s="20" t="n">
        <v>5.7220458984375E-006</v>
      </c>
      <c r="H40" s="21" t="n">
        <v>1</v>
      </c>
      <c r="I40" s="13" t="str">
        <f aca="false">IF(G40&gt;=0.05,"≈",IF((D40-E40)*C40&gt;0,"mejor","peor"))</f>
        <v>mejor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6"/>
    <col collapsed="false" customWidth="true" hidden="false" outlineLevel="0" max="5" min="4" style="0" width="13"/>
    <col collapsed="false" customWidth="true" hidden="false" outlineLevel="0" max="6" min="6" style="0" width="20"/>
  </cols>
  <sheetData>
    <row r="1" customFormat="false" ht="15" hidden="false" customHeight="false" outlineLevel="0" collapsed="false">
      <c r="A1" s="1" t="s">
        <v>178</v>
      </c>
    </row>
    <row r="2" customFormat="false" ht="15" hidden="false" customHeight="false" outlineLevel="0" collapsed="false">
      <c r="A2" s="2" t="s">
        <v>179</v>
      </c>
    </row>
    <row r="4" customFormat="false" ht="15" hidden="false" customHeight="false" outlineLevel="0" collapsed="false">
      <c r="A4" s="5" t="s">
        <v>180</v>
      </c>
    </row>
    <row r="5" customFormat="false" ht="15" hidden="false" customHeight="false" outlineLevel="0" collapsed="false">
      <c r="A5" s="3" t="s">
        <v>181</v>
      </c>
      <c r="B5" s="6" t="s">
        <v>182</v>
      </c>
    </row>
    <row r="6" customFormat="false" ht="15" hidden="false" customHeight="false" outlineLevel="0" collapsed="false">
      <c r="A6" s="3" t="s">
        <v>183</v>
      </c>
      <c r="B6" s="6" t="n">
        <v>40</v>
      </c>
    </row>
    <row r="7" customFormat="false" ht="15" hidden="false" customHeight="false" outlineLevel="0" collapsed="false">
      <c r="A7" s="3" t="s">
        <v>184</v>
      </c>
      <c r="B7" s="6" t="s">
        <v>185</v>
      </c>
    </row>
    <row r="8" customFormat="false" ht="15" hidden="false" customHeight="false" outlineLevel="0" collapsed="false">
      <c r="A8" s="3" t="s">
        <v>186</v>
      </c>
      <c r="B8" s="6" t="n">
        <v>16</v>
      </c>
    </row>
    <row r="9" customFormat="false" ht="15" hidden="false" customHeight="false" outlineLevel="0" collapsed="false">
      <c r="A9" s="3" t="s">
        <v>187</v>
      </c>
      <c r="B9" s="6" t="s">
        <v>188</v>
      </c>
    </row>
    <row r="10" customFormat="false" ht="15" hidden="false" customHeight="false" outlineLevel="0" collapsed="false">
      <c r="A10" s="3" t="s">
        <v>189</v>
      </c>
      <c r="B10" s="6" t="s">
        <v>190</v>
      </c>
    </row>
    <row r="11" customFormat="false" ht="15" hidden="false" customHeight="false" outlineLevel="0" collapsed="false">
      <c r="A11" s="3" t="s">
        <v>191</v>
      </c>
      <c r="B11" s="6" t="s">
        <v>192</v>
      </c>
    </row>
    <row r="13" customFormat="false" ht="15" hidden="false" customHeight="false" outlineLevel="0" collapsed="false">
      <c r="A13" s="5" t="s">
        <v>193</v>
      </c>
    </row>
    <row r="14" customFormat="false" ht="15" hidden="false" customHeight="false" outlineLevel="0" collapsed="false">
      <c r="A14" s="8" t="s">
        <v>194</v>
      </c>
      <c r="B14" s="8" t="s">
        <v>195</v>
      </c>
      <c r="C14" s="8" t="s">
        <v>196</v>
      </c>
      <c r="D14" s="8" t="s">
        <v>197</v>
      </c>
      <c r="E14" s="8" t="s">
        <v>198</v>
      </c>
      <c r="F14" s="8" t="s">
        <v>199</v>
      </c>
    </row>
    <row r="15" customFormat="false" ht="15" hidden="false" customHeight="false" outlineLevel="0" collapsed="false">
      <c r="A15" s="9" t="s">
        <v>200</v>
      </c>
      <c r="B15" s="17" t="n">
        <v>0.957</v>
      </c>
      <c r="C15" s="17" t="n">
        <v>0.6627</v>
      </c>
      <c r="D15" s="17" t="n">
        <v>0.968</v>
      </c>
      <c r="E15" s="17" t="n">
        <v>0.8936</v>
      </c>
      <c r="F15" s="15" t="n">
        <v>822.332</v>
      </c>
    </row>
    <row r="16" customFormat="false" ht="15" hidden="false" customHeight="false" outlineLevel="0" collapsed="false">
      <c r="A16" s="9" t="s">
        <v>112</v>
      </c>
      <c r="B16" s="17" t="n">
        <v>0.9487</v>
      </c>
      <c r="C16" s="17" t="n">
        <v>0.6509</v>
      </c>
      <c r="D16" s="17" t="n">
        <v>0.9426</v>
      </c>
      <c r="E16" s="17" t="n">
        <v>0.8788</v>
      </c>
      <c r="F16" s="15" t="n">
        <v>836.526</v>
      </c>
    </row>
    <row r="17" customFormat="false" ht="15" hidden="false" customHeight="false" outlineLevel="0" collapsed="false">
      <c r="A17" s="9" t="s">
        <v>111</v>
      </c>
      <c r="B17" s="17" t="n">
        <v>0.9476</v>
      </c>
      <c r="C17" s="17" t="n">
        <v>0.6385</v>
      </c>
      <c r="D17" s="17" t="n">
        <v>0.9676</v>
      </c>
      <c r="E17" s="17" t="n">
        <v>0.8655</v>
      </c>
      <c r="F17" s="15" t="n">
        <v>834.413</v>
      </c>
    </row>
    <row r="18" customFormat="false" ht="15" hidden="false" customHeight="false" outlineLevel="0" collapsed="false">
      <c r="A18" s="9" t="s">
        <v>201</v>
      </c>
      <c r="B18" s="17" t="n">
        <v>0.9351</v>
      </c>
      <c r="C18" s="17" t="n">
        <v>0.6319</v>
      </c>
      <c r="D18" s="17" t="n">
        <v>0.937</v>
      </c>
      <c r="E18" s="17" t="n">
        <v>0.8641</v>
      </c>
      <c r="F18" s="15" t="n">
        <v>809.353</v>
      </c>
    </row>
    <row r="19" customFormat="false" ht="15" hidden="false" customHeight="false" outlineLevel="0" collapsed="false">
      <c r="A19" s="12" t="s">
        <v>202</v>
      </c>
      <c r="B19" s="18" t="n">
        <v>0.914</v>
      </c>
      <c r="C19" s="18" t="n">
        <v>0.608</v>
      </c>
      <c r="D19" s="17" t="n">
        <v>0.9416</v>
      </c>
      <c r="E19" s="17" t="n">
        <v>0.8317</v>
      </c>
      <c r="F19" s="15" t="n">
        <v>834.873</v>
      </c>
    </row>
    <row r="20" customFormat="false" ht="15" hidden="false" customHeight="false" outlineLevel="0" collapsed="false">
      <c r="A20" s="9" t="s">
        <v>203</v>
      </c>
      <c r="B20" s="17" t="n">
        <v>0.8994</v>
      </c>
      <c r="C20" s="17" t="n">
        <v>0.628</v>
      </c>
      <c r="D20" s="17" t="n">
        <v>0.9334</v>
      </c>
      <c r="E20" s="17" t="n">
        <v>0.788</v>
      </c>
      <c r="F20" s="15" t="s">
        <v>204</v>
      </c>
    </row>
    <row r="21" customFormat="false" ht="15" hidden="false" customHeight="false" outlineLevel="0" collapsed="false">
      <c r="A21" s="9" t="s">
        <v>205</v>
      </c>
      <c r="B21" s="17" t="n">
        <v>0.808</v>
      </c>
      <c r="C21" s="17" t="n">
        <v>0.4512</v>
      </c>
      <c r="D21" s="17" t="n">
        <v>0.8033</v>
      </c>
      <c r="E21" s="17" t="n">
        <v>0.7506</v>
      </c>
      <c r="F21" s="15" t="n">
        <v>976.058</v>
      </c>
    </row>
    <row r="23" customFormat="false" ht="15" hidden="false" customHeight="false" outlineLevel="0" collapsed="false">
      <c r="A23" s="7" t="s">
        <v>206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0" width="34"/>
  </cols>
  <sheetData>
    <row r="1" customFormat="false" ht="15" hidden="false" customHeight="false" outlineLevel="0" collapsed="false">
      <c r="A1" s="1" t="s">
        <v>207</v>
      </c>
    </row>
    <row r="2" customFormat="false" ht="15" hidden="false" customHeight="false" outlineLevel="0" collapsed="false">
      <c r="A2" s="2" t="s">
        <v>208</v>
      </c>
    </row>
    <row r="4" customFormat="false" ht="15" hidden="false" customHeight="false" outlineLevel="0" collapsed="false">
      <c r="A4" s="8" t="s">
        <v>88</v>
      </c>
      <c r="B4" s="8" t="s">
        <v>126</v>
      </c>
      <c r="C4" s="8" t="s">
        <v>127</v>
      </c>
      <c r="D4" s="8" t="s">
        <v>128</v>
      </c>
      <c r="E4" s="8" t="s">
        <v>129</v>
      </c>
      <c r="F4" s="8" t="s">
        <v>130</v>
      </c>
      <c r="G4" s="8" t="s">
        <v>131</v>
      </c>
      <c r="H4" s="8" t="s">
        <v>132</v>
      </c>
      <c r="I4" s="8" t="s">
        <v>133</v>
      </c>
      <c r="J4" s="8" t="s">
        <v>134</v>
      </c>
      <c r="K4" s="8" t="s">
        <v>135</v>
      </c>
      <c r="L4" s="8" t="s">
        <v>136</v>
      </c>
      <c r="M4" s="8" t="s">
        <v>137</v>
      </c>
      <c r="N4" s="8" t="s">
        <v>209</v>
      </c>
    </row>
    <row r="5" customFormat="false" ht="15" hidden="false" customHeight="false" outlineLevel="0" collapsed="false">
      <c r="A5" s="9" t="s">
        <v>112</v>
      </c>
      <c r="B5" s="19" t="n">
        <v>5</v>
      </c>
      <c r="C5" s="19" t="n">
        <v>2</v>
      </c>
      <c r="D5" s="19" t="n">
        <v>5</v>
      </c>
      <c r="E5" s="19" t="n">
        <v>6</v>
      </c>
      <c r="F5" s="19" t="n">
        <v>1</v>
      </c>
      <c r="G5" s="19" t="n">
        <v>1</v>
      </c>
      <c r="H5" s="19" t="n">
        <v>6</v>
      </c>
      <c r="I5" s="19" t="n">
        <v>9</v>
      </c>
      <c r="J5" s="19" t="n">
        <v>8</v>
      </c>
      <c r="K5" s="19" t="n">
        <v>11</v>
      </c>
      <c r="L5" s="19" t="n">
        <v>13</v>
      </c>
      <c r="M5" s="19" t="n">
        <v>1</v>
      </c>
      <c r="N5" s="22" t="n">
        <f aca="false">AVERAGE(B5:M5)</f>
        <v>5.66666666666667</v>
      </c>
    </row>
    <row r="6" customFormat="false" ht="15" hidden="false" customHeight="false" outlineLevel="0" collapsed="false">
      <c r="A6" s="9" t="s">
        <v>104</v>
      </c>
      <c r="B6" s="19" t="n">
        <v>6</v>
      </c>
      <c r="C6" s="19" t="n">
        <v>6</v>
      </c>
      <c r="D6" s="19" t="n">
        <v>6</v>
      </c>
      <c r="E6" s="19" t="n">
        <v>7</v>
      </c>
      <c r="F6" s="19" t="n">
        <v>9</v>
      </c>
      <c r="G6" s="19" t="n">
        <v>9</v>
      </c>
      <c r="H6" s="19" t="n">
        <v>8</v>
      </c>
      <c r="I6" s="19" t="n">
        <v>5</v>
      </c>
      <c r="J6" s="19" t="n">
        <v>9</v>
      </c>
      <c r="K6" s="19" t="n">
        <v>9</v>
      </c>
      <c r="L6" s="19" t="n">
        <v>2</v>
      </c>
      <c r="M6" s="19" t="n">
        <v>4</v>
      </c>
      <c r="N6" s="22" t="n">
        <f aca="false">AVERAGE(B6:M6)</f>
        <v>6.66666666666667</v>
      </c>
    </row>
    <row r="7" customFormat="false" ht="15" hidden="false" customHeight="false" outlineLevel="0" collapsed="false">
      <c r="A7" s="9" t="s">
        <v>101</v>
      </c>
      <c r="B7" s="19" t="n">
        <v>8</v>
      </c>
      <c r="C7" s="19" t="n">
        <v>8</v>
      </c>
      <c r="D7" s="19" t="n">
        <v>8</v>
      </c>
      <c r="E7" s="19" t="n">
        <v>10</v>
      </c>
      <c r="F7" s="19" t="n">
        <v>4</v>
      </c>
      <c r="G7" s="19" t="n">
        <v>7</v>
      </c>
      <c r="H7" s="19" t="n">
        <v>9</v>
      </c>
      <c r="I7" s="19" t="n">
        <v>6</v>
      </c>
      <c r="J7" s="19" t="n">
        <v>5</v>
      </c>
      <c r="K7" s="19" t="n">
        <v>7</v>
      </c>
      <c r="L7" s="19" t="n">
        <v>6</v>
      </c>
      <c r="M7" s="19" t="n">
        <v>7</v>
      </c>
      <c r="N7" s="22" t="n">
        <f aca="false">AVERAGE(B7:M7)</f>
        <v>7.08333333333333</v>
      </c>
    </row>
    <row r="8" customFormat="false" ht="15" hidden="false" customHeight="false" outlineLevel="0" collapsed="false">
      <c r="A8" s="9" t="s">
        <v>102</v>
      </c>
      <c r="B8" s="19" t="n">
        <v>7</v>
      </c>
      <c r="C8" s="19" t="n">
        <v>7</v>
      </c>
      <c r="D8" s="19" t="n">
        <v>7</v>
      </c>
      <c r="E8" s="19" t="n">
        <v>9</v>
      </c>
      <c r="F8" s="19" t="n">
        <v>5</v>
      </c>
      <c r="G8" s="19" t="n">
        <v>8</v>
      </c>
      <c r="H8" s="19" t="n">
        <v>10</v>
      </c>
      <c r="I8" s="19" t="n">
        <v>10</v>
      </c>
      <c r="J8" s="19" t="n">
        <v>6</v>
      </c>
      <c r="K8" s="19" t="n">
        <v>8</v>
      </c>
      <c r="L8" s="19" t="n">
        <v>4</v>
      </c>
      <c r="M8" s="19" t="n">
        <v>6</v>
      </c>
      <c r="N8" s="22" t="n">
        <f aca="false">AVERAGE(B8:M8)</f>
        <v>7.25</v>
      </c>
    </row>
    <row r="9" customFormat="false" ht="15" hidden="false" customHeight="false" outlineLevel="0" collapsed="false">
      <c r="A9" s="9" t="s">
        <v>116</v>
      </c>
      <c r="B9" s="19" t="n">
        <v>11</v>
      </c>
      <c r="C9" s="19" t="n">
        <v>9</v>
      </c>
      <c r="D9" s="19" t="n">
        <v>11</v>
      </c>
      <c r="E9" s="19" t="n">
        <v>12</v>
      </c>
      <c r="F9" s="19" t="n">
        <v>10</v>
      </c>
      <c r="G9" s="19" t="n">
        <v>11</v>
      </c>
      <c r="H9" s="19" t="n">
        <v>12</v>
      </c>
      <c r="I9" s="19" t="n">
        <v>1</v>
      </c>
      <c r="J9" s="19" t="n">
        <v>4</v>
      </c>
      <c r="K9" s="19" t="n">
        <v>4</v>
      </c>
      <c r="L9" s="19" t="n">
        <v>1</v>
      </c>
      <c r="M9" s="19" t="n">
        <v>2</v>
      </c>
      <c r="N9" s="22" t="n">
        <f aca="false">AVERAGE(B9:M9)</f>
        <v>7.33333333333333</v>
      </c>
    </row>
    <row r="10" customFormat="false" ht="15" hidden="false" customHeight="false" outlineLevel="0" collapsed="false">
      <c r="A10" s="12" t="s">
        <v>119</v>
      </c>
      <c r="B10" s="23" t="n">
        <v>12</v>
      </c>
      <c r="C10" s="23" t="n">
        <v>12</v>
      </c>
      <c r="D10" s="23" t="n">
        <v>12</v>
      </c>
      <c r="E10" s="23" t="n">
        <v>13</v>
      </c>
      <c r="F10" s="23" t="n">
        <v>7</v>
      </c>
      <c r="G10" s="23" t="n">
        <v>6</v>
      </c>
      <c r="H10" s="23" t="n">
        <v>13</v>
      </c>
      <c r="I10" s="23" t="n">
        <v>2</v>
      </c>
      <c r="J10" s="23" t="n">
        <v>3</v>
      </c>
      <c r="K10" s="23" t="n">
        <v>3</v>
      </c>
      <c r="L10" s="23" t="n">
        <v>3</v>
      </c>
      <c r="M10" s="23" t="n">
        <v>3</v>
      </c>
      <c r="N10" s="22" t="n">
        <f aca="false">AVERAGE(B10:M10)</f>
        <v>7.41666666666667</v>
      </c>
    </row>
    <row r="11" customFormat="false" ht="15" hidden="false" customHeight="false" outlineLevel="0" collapsed="false">
      <c r="A11" s="9" t="s">
        <v>117</v>
      </c>
      <c r="B11" s="19" t="n">
        <v>14</v>
      </c>
      <c r="C11" s="19" t="n">
        <v>13</v>
      </c>
      <c r="D11" s="19" t="n">
        <v>14</v>
      </c>
      <c r="E11" s="19" t="n">
        <v>14</v>
      </c>
      <c r="F11" s="19" t="n">
        <v>3</v>
      </c>
      <c r="G11" s="19" t="n">
        <v>3</v>
      </c>
      <c r="H11" s="19" t="n">
        <v>14</v>
      </c>
      <c r="I11" s="19" t="n">
        <v>3</v>
      </c>
      <c r="J11" s="19" t="n">
        <v>2</v>
      </c>
      <c r="K11" s="19" t="n">
        <v>2</v>
      </c>
      <c r="L11" s="19" t="n">
        <v>5</v>
      </c>
      <c r="M11" s="19" t="n">
        <v>5</v>
      </c>
      <c r="N11" s="22" t="n">
        <f aca="false">AVERAGE(B11:M11)</f>
        <v>7.66666666666667</v>
      </c>
    </row>
    <row r="12" customFormat="false" ht="15" hidden="false" customHeight="false" outlineLevel="0" collapsed="false">
      <c r="A12" s="9" t="s">
        <v>103</v>
      </c>
      <c r="B12" s="19" t="n">
        <v>10</v>
      </c>
      <c r="C12" s="19" t="n">
        <v>10</v>
      </c>
      <c r="D12" s="19" t="n">
        <v>10</v>
      </c>
      <c r="E12" s="19" t="n">
        <v>11</v>
      </c>
      <c r="F12" s="19" t="n">
        <v>6</v>
      </c>
      <c r="G12" s="19" t="n">
        <v>4</v>
      </c>
      <c r="H12" s="19" t="n">
        <v>11</v>
      </c>
      <c r="I12" s="19" t="n">
        <v>7</v>
      </c>
      <c r="J12" s="19" t="n">
        <v>7</v>
      </c>
      <c r="K12" s="19" t="n">
        <v>6</v>
      </c>
      <c r="L12" s="19" t="n">
        <v>7</v>
      </c>
      <c r="M12" s="19" t="n">
        <v>8</v>
      </c>
      <c r="N12" s="22" t="n">
        <f aca="false">AVERAGE(B12:M12)</f>
        <v>8.08333333333333</v>
      </c>
    </row>
    <row r="13" customFormat="false" ht="15" hidden="false" customHeight="false" outlineLevel="0" collapsed="false">
      <c r="A13" s="9" t="s">
        <v>108</v>
      </c>
      <c r="B13" s="19" t="n">
        <v>2</v>
      </c>
      <c r="C13" s="19" t="n">
        <v>3</v>
      </c>
      <c r="D13" s="19" t="n">
        <v>2</v>
      </c>
      <c r="E13" s="19" t="n">
        <v>4</v>
      </c>
      <c r="F13" s="19" t="n">
        <v>14</v>
      </c>
      <c r="G13" s="19" t="n">
        <v>14</v>
      </c>
      <c r="H13" s="19" t="n">
        <v>4</v>
      </c>
      <c r="I13" s="19" t="n">
        <v>11</v>
      </c>
      <c r="J13" s="19" t="n">
        <v>12</v>
      </c>
      <c r="K13" s="19" t="n">
        <v>13</v>
      </c>
      <c r="L13" s="19" t="n">
        <v>10</v>
      </c>
      <c r="M13" s="19" t="n">
        <v>11</v>
      </c>
      <c r="N13" s="22" t="n">
        <f aca="false">AVERAGE(B13:M13)</f>
        <v>8.33333333333333</v>
      </c>
    </row>
    <row r="14" customFormat="false" ht="15" hidden="false" customHeight="false" outlineLevel="0" collapsed="false">
      <c r="A14" s="9" t="s">
        <v>107</v>
      </c>
      <c r="B14" s="19" t="n">
        <v>4</v>
      </c>
      <c r="C14" s="19" t="n">
        <v>5</v>
      </c>
      <c r="D14" s="19" t="n">
        <v>4</v>
      </c>
      <c r="E14" s="19" t="n">
        <v>2.5</v>
      </c>
      <c r="F14" s="19" t="n">
        <v>13</v>
      </c>
      <c r="G14" s="19" t="n">
        <v>13</v>
      </c>
      <c r="H14" s="19" t="n">
        <v>3</v>
      </c>
      <c r="I14" s="19" t="n">
        <v>12</v>
      </c>
      <c r="J14" s="19" t="n">
        <v>13</v>
      </c>
      <c r="K14" s="19" t="n">
        <v>12</v>
      </c>
      <c r="L14" s="19" t="n">
        <v>9</v>
      </c>
      <c r="M14" s="19" t="n">
        <v>12</v>
      </c>
      <c r="N14" s="22" t="n">
        <f aca="false">AVERAGE(B14:M14)</f>
        <v>8.54166666666667</v>
      </c>
    </row>
    <row r="15" customFormat="false" ht="15" hidden="false" customHeight="false" outlineLevel="0" collapsed="false">
      <c r="A15" s="9" t="s">
        <v>109</v>
      </c>
      <c r="B15" s="19" t="n">
        <v>3</v>
      </c>
      <c r="C15" s="19" t="n">
        <v>4</v>
      </c>
      <c r="D15" s="19" t="n">
        <v>3</v>
      </c>
      <c r="E15" s="19" t="n">
        <v>2.5</v>
      </c>
      <c r="F15" s="19" t="n">
        <v>12</v>
      </c>
      <c r="G15" s="19" t="n">
        <v>12</v>
      </c>
      <c r="H15" s="19" t="n">
        <v>2</v>
      </c>
      <c r="I15" s="19" t="n">
        <v>13</v>
      </c>
      <c r="J15" s="19" t="n">
        <v>14</v>
      </c>
      <c r="K15" s="19" t="n">
        <v>14</v>
      </c>
      <c r="L15" s="19" t="n">
        <v>11</v>
      </c>
      <c r="M15" s="19" t="n">
        <v>14</v>
      </c>
      <c r="N15" s="22" t="n">
        <f aca="false">AVERAGE(B15:M15)</f>
        <v>8.70833333333333</v>
      </c>
    </row>
    <row r="16" customFormat="false" ht="15" hidden="false" customHeight="false" outlineLevel="0" collapsed="false">
      <c r="A16" s="9" t="s">
        <v>115</v>
      </c>
      <c r="B16" s="19" t="n">
        <v>13</v>
      </c>
      <c r="C16" s="19" t="n">
        <v>14</v>
      </c>
      <c r="D16" s="19" t="n">
        <v>13</v>
      </c>
      <c r="E16" s="19" t="n">
        <v>8</v>
      </c>
      <c r="F16" s="19" t="n">
        <v>8</v>
      </c>
      <c r="G16" s="19" t="n">
        <v>5</v>
      </c>
      <c r="H16" s="19" t="n">
        <v>7</v>
      </c>
      <c r="I16" s="19" t="n">
        <v>8</v>
      </c>
      <c r="J16" s="19" t="n">
        <v>10</v>
      </c>
      <c r="K16" s="19" t="n">
        <v>5</v>
      </c>
      <c r="L16" s="19" t="n">
        <v>8</v>
      </c>
      <c r="M16" s="19" t="n">
        <v>10</v>
      </c>
      <c r="N16" s="22" t="n">
        <f aca="false">AVERAGE(B16:M16)</f>
        <v>9.08333333333333</v>
      </c>
    </row>
    <row r="17" customFormat="false" ht="15" hidden="false" customHeight="false" outlineLevel="0" collapsed="false">
      <c r="A17" s="9" t="s">
        <v>106</v>
      </c>
      <c r="B17" s="19" t="n">
        <v>1</v>
      </c>
      <c r="C17" s="19" t="n">
        <v>1</v>
      </c>
      <c r="D17" s="19" t="n">
        <v>1</v>
      </c>
      <c r="E17" s="19" t="n">
        <v>1</v>
      </c>
      <c r="F17" s="19" t="n">
        <v>15</v>
      </c>
      <c r="G17" s="19" t="n">
        <v>15</v>
      </c>
      <c r="H17" s="19" t="n">
        <v>1</v>
      </c>
      <c r="I17" s="19" t="n">
        <v>15</v>
      </c>
      <c r="J17" s="19" t="n">
        <v>15</v>
      </c>
      <c r="K17" s="19" t="n">
        <v>15</v>
      </c>
      <c r="L17" s="19" t="n">
        <v>15</v>
      </c>
      <c r="M17" s="19" t="n">
        <v>15</v>
      </c>
      <c r="N17" s="22" t="n">
        <f aca="false">AVERAGE(B17:M17)</f>
        <v>9.16666666666667</v>
      </c>
    </row>
    <row r="18" customFormat="false" ht="15" hidden="false" customHeight="false" outlineLevel="0" collapsed="false">
      <c r="A18" s="9" t="s">
        <v>113</v>
      </c>
      <c r="B18" s="19" t="n">
        <v>9</v>
      </c>
      <c r="C18" s="19" t="n">
        <v>11</v>
      </c>
      <c r="D18" s="19" t="n">
        <v>9</v>
      </c>
      <c r="E18" s="19" t="n">
        <v>5</v>
      </c>
      <c r="F18" s="19" t="n">
        <v>11</v>
      </c>
      <c r="G18" s="19" t="n">
        <v>10</v>
      </c>
      <c r="H18" s="19" t="n">
        <v>5</v>
      </c>
      <c r="I18" s="19" t="n">
        <v>4</v>
      </c>
      <c r="J18" s="19" t="n">
        <v>11</v>
      </c>
      <c r="K18" s="19" t="n">
        <v>10</v>
      </c>
      <c r="L18" s="19" t="n">
        <v>14</v>
      </c>
      <c r="M18" s="19" t="n">
        <v>13</v>
      </c>
      <c r="N18" s="22" t="n">
        <f aca="false">AVERAGE(B18:M18)</f>
        <v>9.33333333333333</v>
      </c>
    </row>
    <row r="19" customFormat="false" ht="15" hidden="false" customHeight="false" outlineLevel="0" collapsed="false">
      <c r="A19" s="9" t="s">
        <v>111</v>
      </c>
      <c r="B19" s="19" t="n">
        <v>15</v>
      </c>
      <c r="C19" s="19" t="n">
        <v>15</v>
      </c>
      <c r="D19" s="19" t="n">
        <v>15</v>
      </c>
      <c r="E19" s="19" t="n">
        <v>15</v>
      </c>
      <c r="F19" s="19" t="n">
        <v>2</v>
      </c>
      <c r="G19" s="19" t="n">
        <v>2</v>
      </c>
      <c r="H19" s="19" t="n">
        <v>15</v>
      </c>
      <c r="I19" s="19" t="n">
        <v>14</v>
      </c>
      <c r="J19" s="19" t="n">
        <v>1</v>
      </c>
      <c r="K19" s="19" t="n">
        <v>1</v>
      </c>
      <c r="L19" s="19" t="n">
        <v>12</v>
      </c>
      <c r="M19" s="19" t="n">
        <v>9</v>
      </c>
      <c r="N19" s="22" t="n">
        <f aca="false">AVERAGE(B19:M19)</f>
        <v>9.66666666666667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LibreOffice/7.5.0.3$Windows_X86_64 LibreOffice_project/c21113d003cd3efa8c53188764377a8272d9d6de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2026-07-13T22:57:55Z</dcterms:created>
  <dc:creator>openpyxl</dc:creator>
  <dc:description/>
  <dc:language>es-AR</dc:language>
  <cp:lastModifiedBy/>
  <dcterms:modified xsi:type="dcterms:W3CDTF">2026-07-13T22:57:55Z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