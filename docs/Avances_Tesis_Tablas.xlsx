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SO_Configuracion" sheetId="2" state="visible" r:id="rId2"/>
    <sheet xmlns:r="http://schemas.openxmlformats.org/officeDocument/2006/relationships" name="PSO_Barrido" sheetId="3" state="visible" r:id="rId3"/>
    <sheet xmlns:r="http://schemas.openxmlformats.org/officeDocument/2006/relationships" name="Benchmark" sheetId="4" state="visible" r:id="rId4"/>
    <sheet xmlns:r="http://schemas.openxmlformats.org/officeDocument/2006/relationships" name="Benchmark_por_Escena" sheetId="5" state="visible" r:id="rId5"/>
    <sheet xmlns:r="http://schemas.openxmlformats.org/officeDocument/2006/relationships" name="PSO_por_Escena" sheetId="6" state="visible" r:id="rId6"/>
    <sheet xmlns:r="http://schemas.openxmlformats.org/officeDocument/2006/relationships" name="Propuesta_por_Imagen" sheetId="7" state="visible" r:id="rId7"/>
    <sheet xmlns:r="http://schemas.openxmlformats.org/officeDocument/2006/relationships" name="Friedman" sheetId="8" state="visible" r:id="rId8"/>
    <sheet xmlns:r="http://schemas.openxmlformats.org/officeDocument/2006/relationships" name="Wilcoxon" sheetId="9" state="visible" r:id="rId9"/>
    <sheet xmlns:r="http://schemas.openxmlformats.org/officeDocument/2006/relationships" name="Ranking_Global" sheetId="10" state="visible" r:id="rId10"/>
    <sheet xmlns:r="http://schemas.openxmlformats.org/officeDocument/2006/relationships" name="Deteccion_LLVIP" sheetId="11" state="visible" r:id="rId11"/>
    <sheet xmlns:r="http://schemas.openxmlformats.org/officeDocument/2006/relationships" name="Deteccion_M3FD" sheetId="12" state="visible" r:id="rId12"/>
  </sheets>
  <definedNames>
    <definedName name="_xlnm._FilterDatabase" localSheetId="4" hidden="1">'Benchmark_por_Escena'!$A$4:$K$144</definedName>
    <definedName name="_xlnm._FilterDatabase" localSheetId="5" hidden="1">'PSO_por_Escena'!$A$4:$K$504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"/>
    <numFmt numFmtId="166" formatCode="0.00000"/>
    <numFmt numFmtId="167" formatCode="0.000000"/>
    <numFmt numFmtId="168" formatCode="0.0"/>
    <numFmt numFmtId="169" formatCode="0.0E+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Fusión de imágenes IR/VIS mediante morfología matemática — Tablas de ejecución y métricas</t>
        </is>
      </c>
    </row>
    <row r="2">
      <c r="A2" s="2" t="inlineStr">
        <is>
          <t>Maestría en Ciencias de Datos (UCOM) · Bazán &amp; Bajac · Director: D.Sc. Mello · 13/07/2026</t>
        </is>
      </c>
    </row>
    <row r="4" ht="28" customHeight="1">
      <c r="A4" s="3" t="inlineStr">
        <is>
          <t>Propuesta central</t>
        </is>
      </c>
      <c r="B4" s="4" t="inlineStr">
        <is>
          <t>Fusión Top-Hat de UNA SOLA ESCALA (radio r): disco B_r + 4 líneas L_{r,θ} (0°, 45°, 90°, 135°, largo 2r+1). Respuestas lineales promediadas y SUMADAS a la del disco (Bala et al. 2024); entre fuentes máximo; reconstrucción F = I_base + m·WTH − m·BTH.</t>
        </is>
      </c>
    </row>
    <row r="5" ht="28" customHeight="1">
      <c r="A5" s="3" t="inlineStr">
        <is>
          <t>Optimización</t>
        </is>
      </c>
      <c r="B5" s="4" t="inlineStr">
        <is>
          <t>Barrido de 25 configuraciones PSO (partículas 2-10 × iteraciones 10-50, Cuadro 1 de Ortega &amp; Espinoza 2025) sobre (r, m), r en [1,25]. El peso converge al piso del rango publicado (m* = 0,30) en las 25 configuraciones, porque Fo decrece de forma estrictamente monótona en m. El radio NO lo fija el PSO: dentro de ese rango Fo prefiere r = 1 (1,7350 frente a 1,7057 en r = 25), de modo que r = 25 es una decisión de diseño tomada sobre las métricas de evaluación, de las cuales cinco lo favorecen (EN, SD, FE, MG, SF) y cuatro prefieren r = 1 (SSIM, PSNR, MI_vis, MI_ir).</t>
        </is>
      </c>
    </row>
    <row r="6" ht="28" customHeight="1">
      <c r="A6" s="3" t="inlineStr">
        <is>
          <t>Benchmark</t>
        </is>
      </c>
      <c r="B6" s="4" t="inlineStr">
        <is>
          <t>7 métodos: LP, RP (Toet 1989), DWT, DTCWT, CVT, Top-Hat clásico y la propuesta. 20 pares TNO × nueve métricas sin referencia (EN, SD, FE, MG, MI_vis, MI_ir, SF, SSIM, PSNR).</t>
        </is>
      </c>
    </row>
    <row r="7" ht="28" customHeight="1">
      <c r="A7" s="3" t="inlineStr">
        <is>
          <t>Resultados clave</t>
        </is>
      </c>
      <c r="B7" s="4" t="inlineStr">
        <is>
          <t>La propuesta lidera la entropía (6.9855) del estudio, con ventaja significativa sobre los cinco métodos del estado del arte en EN, MG y SF; 1º lugar del ranking agregado (3,394) por promedio de rangos intra-bloque. Nota: FE es la entropía EN reescalada por una constante por escena, de modo que no constituye evidencia independiente de EN.</t>
        </is>
      </c>
    </row>
    <row r="8" ht="28" customHeight="1">
      <c r="A8" s="3" t="inlineStr">
        <is>
          <t>Detección (LLVIP)</t>
        </is>
      </c>
      <c r="B8" s="4" t="inlineStr">
        <is>
          <t>YOLOv8n reentrenado por método, evaluado con el checkpoint final (last.pt) para no heredar el sesgo de elegirlo sobre el mismo conjunto que se reporta. El IR solo lidera (mAP@0,5 = 0.9708); toda fusión supera al VIS solo (0.8133); la propuesta alcanza 0.9057: el realce que premian las métricas de actividad no mejora la detección (H3 no sostenida).</t>
        </is>
      </c>
    </row>
    <row r="10">
      <c r="A10" s="5" t="inlineStr">
        <is>
          <t>Contenido del libro</t>
        </is>
      </c>
    </row>
    <row r="11">
      <c r="A11" s="3" t="inlineStr">
        <is>
          <t>PSO_Configuracion</t>
        </is>
      </c>
      <c r="B11" s="6" t="inlineStr">
        <is>
          <t>Parámetros del PSO de la propuesta (algoritmo, rangos, aptitud Fo, óptimo)</t>
        </is>
      </c>
    </row>
    <row r="12">
      <c r="A12" s="3" t="inlineStr">
        <is>
          <t>PSO_Barrido</t>
        </is>
      </c>
      <c r="B12" s="6" t="inlineStr">
        <is>
          <t>Barrido de 25 configuraciones (partículas × iteraciones) replicando el Cuadro 1 del libro FPUNA</t>
        </is>
      </c>
    </row>
    <row r="13">
      <c r="A13" s="3" t="inlineStr">
        <is>
          <t>Benchmark</t>
        </is>
      </c>
      <c r="B13" s="6" t="inlineStr">
        <is>
          <t>Los 7 métodos × nueve métricas (promedio de los 20 pares TNO)</t>
        </is>
      </c>
    </row>
    <row r="14">
      <c r="A14" s="3" t="inlineStr">
        <is>
          <t>Benchmark_por_Escena</t>
        </is>
      </c>
      <c r="B14" s="6" t="inlineStr">
        <is>
          <t>Los 7 métodos en cada una de las 20 escenas (140 filas, con filtro y mejor por escena)</t>
        </is>
      </c>
    </row>
    <row r="15">
      <c r="A15" s="3" t="inlineStr">
        <is>
          <t>PSO_por_Escena</t>
        </is>
      </c>
      <c r="B15" s="6" t="inlineStr">
        <is>
          <t>Las 25 configuraciones del PSO en cada escena (500 filas) — equivale a los Anexos 1-20</t>
        </is>
      </c>
    </row>
    <row r="16">
      <c r="A16" s="3" t="inlineStr">
        <is>
          <t>Propuesta_por_Imagen</t>
        </is>
      </c>
      <c r="B16" s="6" t="inlineStr">
        <is>
          <t>Métricas de la propuesta en cada escena, con promedio y desvío por fórmula</t>
        </is>
      </c>
    </row>
    <row r="17">
      <c r="A17" s="3" t="inlineStr">
        <is>
          <t>Friedman</t>
        </is>
      </c>
      <c r="B17" s="6" t="inlineStr">
        <is>
          <t>Test global por métrica (7 métodos × 20 imágenes)</t>
        </is>
      </c>
    </row>
    <row r="18">
      <c r="A18" s="3" t="inlineStr">
        <is>
          <t>Wilcoxon</t>
        </is>
      </c>
      <c r="B18" s="6" t="inlineStr">
        <is>
          <t>99 contrastes pareados (los dos morfológicos vs. los 5 del estado del arte, más Propuesta vs Top-Hat clásico)</t>
        </is>
      </c>
    </row>
    <row r="19">
      <c r="A19" s="3" t="inlineStr">
        <is>
          <t>Ranking_Global</t>
        </is>
      </c>
      <c r="B19" s="6" t="inlineStr">
        <is>
          <t>Ranking promedio de los 7 métodos (nueve métricas)</t>
        </is>
      </c>
    </row>
    <row r="20">
      <c r="A20" s="3" t="inlineStr">
        <is>
          <t>Deteccion_LLVIP</t>
        </is>
      </c>
      <c r="B20" s="6" t="inlineStr">
        <is>
          <t>mAP de YOLOv8n reentrenado por método sobre LLVIP (evaluación orientada a tarea)</t>
        </is>
      </c>
    </row>
    <row r="21">
      <c r="A21" s="3" t="inlineStr">
        <is>
          <t>Deteccion_M3FD</t>
        </is>
      </c>
      <c r="B21" s="6" t="inlineStr">
        <is>
          <t>Clases complementarias en M3FD: AP por clase con un detector único VIS+IR (People/IR, Lamp/VIS)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Proceso de optimización por enjambre de partículas (PSO)</t>
        </is>
      </c>
    </row>
    <row r="2">
      <c r="A2" s="2" t="inlineStr">
        <is>
          <t>Corrida definitiva sobre el operador con SUMA de ramas.</t>
        </is>
      </c>
    </row>
    <row r="4">
      <c r="A4" s="5" t="inlineStr">
        <is>
          <t>Reglas de actualización del enjambre</t>
        </is>
      </c>
    </row>
    <row r="5">
      <c r="A5" s="7" t="inlineStr">
        <is>
          <t>v_k(t+1) = ω·v_k(t) + c1·r1·(pbest_k − x_k) + c2·r2·(gbest − x_k)      x_k(t+1) = x_k(t) + v_k(t+1)</t>
        </is>
      </c>
    </row>
    <row r="6">
      <c r="A6" s="7" t="inlineStr">
        <is>
          <t>Inercia ω decreciente linealmente de 0,9 a 0,4 · c1 = c2 = 1,5 · r1, r2 ~ U(0,1) · posiciones recortadas al rango.</t>
        </is>
      </c>
    </row>
    <row r="8">
      <c r="A8" s="8" t="inlineStr">
        <is>
          <t>Método optimizado</t>
        </is>
      </c>
      <c r="B8" s="9" t="inlineStr">
        <is>
          <t>Propuesta: Top-Hat 1 escala, disco + 4 líneas, ramas SUMADAS (Bala et al. 2024)</t>
        </is>
      </c>
    </row>
    <row r="9">
      <c r="A9" s="8" t="inlineStr">
        <is>
          <t>Variables</t>
        </is>
      </c>
      <c r="B9" s="9" t="inlineStr">
        <is>
          <t>(r, m) — radio del SE y peso de contraste</t>
        </is>
      </c>
    </row>
    <row r="10">
      <c r="A10" s="8" t="inlineStr">
        <is>
          <t>Rango de búsqueda</t>
        </is>
      </c>
      <c r="B10" s="9" t="inlineStr">
        <is>
          <t>r ∈ [1, 25] · m ∈ [0,30; 2,00] (ambos del libro FPUNA, sin modificaciones)</t>
        </is>
      </c>
    </row>
    <row r="11">
      <c r="A11" s="8" t="inlineStr">
        <is>
          <t>Configuraciones evaluadas</t>
        </is>
      </c>
      <c r="B11" s="9" t="inlineStr">
        <is>
          <t>25: partículas n ∈ {2,4,6,8,10} × iteraciones T ∈ {10,20,30,40,50} (Cuadro 1 del libro)</t>
        </is>
      </c>
    </row>
    <row r="12">
      <c r="A12" s="8" t="inlineStr">
        <is>
          <t>Función de aptitud</t>
        </is>
      </c>
      <c r="B12" s="9" t="inlineStr">
        <is>
          <t>Fo = SSIM_avg + E_n + PSNR_n (Ortega y Espinoza, 2025; ecuación 14)</t>
        </is>
      </c>
    </row>
    <row r="13">
      <c r="A13" s="8" t="inlineStr">
        <is>
          <t>Evaluada sobre</t>
        </is>
      </c>
      <c r="B13" s="9" t="inlineStr">
        <is>
          <t>3 escenas representativas del TNO (1 de cada 7)</t>
        </is>
      </c>
    </row>
    <row r="14">
      <c r="A14" s="8" t="inlineStr">
        <is>
          <t>Óptimo global hallado</t>
        </is>
      </c>
      <c r="B14" s="9" t="inlineStr">
        <is>
          <t>r* = 25 · m* = 0,30 (el peso al que convergen las 25 configuraciones con el rango publicado)</t>
        </is>
      </c>
    </row>
    <row r="15">
      <c r="A15" s="8" t="inlineStr">
        <is>
          <t>Aptitud alcanzada</t>
        </is>
      </c>
      <c r="B15" s="9" t="inlineStr">
        <is>
          <t>Fo = 1.7350</t>
        </is>
      </c>
    </row>
    <row r="16">
      <c r="A16" s="8" t="inlineStr">
        <is>
          <t>Estado guardado en</t>
        </is>
      </c>
      <c r="B16" s="9" t="inlineStr">
        <is>
          <t>metrics_reports/pso_grid_search_fo_propuesta.csv</t>
        </is>
      </c>
    </row>
    <row r="18">
      <c r="A18" s="7" t="inlineStr">
        <is>
          <t>Con la suma de ramas se inyecta más energía de detalle que con el máximo; el enjambre lo compensa con el peso del rango publicado (m = 0,30). El radio se ubica en el tope del rango del libro (r = 25): el operador aprovecha un vecindario amplio para capturar los objetivos térmicos completos.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Barrido de configuraciones PSO — 25 combinaciones (Cuadro 1 de Ortega &amp; Espinoza, 2025)</t>
        </is>
      </c>
    </row>
    <row r="2">
      <c r="A2" s="2" t="inlineStr">
        <is>
          <t>Cada fila es una corrida PSO independiente (semilla propia). Las 25 configuraciones convergen al mismo peso óptimo, m* = 0,30; las diferencias de aptitud reflejan el radio hallado.</t>
        </is>
      </c>
    </row>
    <row r="4">
      <c r="A4" s="10" t="inlineStr">
        <is>
          <t>Partículas (n)</t>
        </is>
      </c>
      <c r="B4" s="10" t="inlineStr">
        <is>
          <t>Iteraciones (Tmax)</t>
        </is>
      </c>
      <c r="C4" s="10" t="inlineStr">
        <is>
          <t>Evaluaciones</t>
        </is>
      </c>
      <c r="D4" s="10" t="inlineStr">
        <is>
          <t>r óptimo</t>
        </is>
      </c>
      <c r="E4" s="10" t="inlineStr">
        <is>
          <t>m óptimo</t>
        </is>
      </c>
      <c r="F4" s="10" t="inlineStr">
        <is>
          <t>Aptitud F</t>
        </is>
      </c>
      <c r="G4" s="10" t="inlineStr">
        <is>
          <t>Tiempo (s)</t>
        </is>
      </c>
    </row>
    <row r="5">
      <c r="A5" s="11" t="n">
        <v>2</v>
      </c>
      <c r="B5" s="11" t="n">
        <v>10</v>
      </c>
      <c r="C5" s="11" t="n">
        <v>20</v>
      </c>
      <c r="D5" s="11" t="n">
        <v>14</v>
      </c>
      <c r="E5" s="12" t="n">
        <v>0.3</v>
      </c>
      <c r="F5" s="12" t="n">
        <v>1.699</v>
      </c>
      <c r="G5" s="11" t="n">
        <v>8</v>
      </c>
    </row>
    <row r="6">
      <c r="A6" s="13" t="n">
        <v>2</v>
      </c>
      <c r="B6" s="13" t="n">
        <v>20</v>
      </c>
      <c r="C6" s="13" t="n">
        <v>40</v>
      </c>
      <c r="D6" s="13" t="n">
        <v>1</v>
      </c>
      <c r="E6" s="14" t="n">
        <v>0.3</v>
      </c>
      <c r="F6" s="14" t="n">
        <v>1.735</v>
      </c>
      <c r="G6" s="13" t="n">
        <v>9</v>
      </c>
    </row>
    <row r="7">
      <c r="A7" s="11" t="n">
        <v>2</v>
      </c>
      <c r="B7" s="11" t="n">
        <v>30</v>
      </c>
      <c r="C7" s="11" t="n">
        <v>60</v>
      </c>
      <c r="D7" s="11" t="n">
        <v>25</v>
      </c>
      <c r="E7" s="12" t="n">
        <v>0.3</v>
      </c>
      <c r="F7" s="12" t="n">
        <v>1.7057</v>
      </c>
      <c r="G7" s="11" t="n">
        <v>50</v>
      </c>
    </row>
    <row r="8">
      <c r="A8" s="13" t="n">
        <v>2</v>
      </c>
      <c r="B8" s="13" t="n">
        <v>40</v>
      </c>
      <c r="C8" s="13" t="n">
        <v>80</v>
      </c>
      <c r="D8" s="13" t="n">
        <v>1</v>
      </c>
      <c r="E8" s="14" t="n">
        <v>0.3</v>
      </c>
      <c r="F8" s="14" t="n">
        <v>1.735</v>
      </c>
      <c r="G8" s="13" t="n">
        <v>17</v>
      </c>
    </row>
    <row r="9">
      <c r="A9" s="13" t="n">
        <v>2</v>
      </c>
      <c r="B9" s="13" t="n">
        <v>50</v>
      </c>
      <c r="C9" s="13" t="n">
        <v>100</v>
      </c>
      <c r="D9" s="13" t="n">
        <v>1</v>
      </c>
      <c r="E9" s="14" t="n">
        <v>0.3</v>
      </c>
      <c r="F9" s="14" t="n">
        <v>1.735</v>
      </c>
      <c r="G9" s="13" t="n">
        <v>18</v>
      </c>
    </row>
    <row r="10">
      <c r="A10" s="13" t="n">
        <v>4</v>
      </c>
      <c r="B10" s="13" t="n">
        <v>10</v>
      </c>
      <c r="C10" s="13" t="n">
        <v>40</v>
      </c>
      <c r="D10" s="13" t="n">
        <v>1</v>
      </c>
      <c r="E10" s="14" t="n">
        <v>0.3</v>
      </c>
      <c r="F10" s="14" t="n">
        <v>1.735</v>
      </c>
      <c r="G10" s="13" t="n">
        <v>8</v>
      </c>
    </row>
    <row r="11">
      <c r="A11" s="11" t="n">
        <v>4</v>
      </c>
      <c r="B11" s="11" t="n">
        <v>20</v>
      </c>
      <c r="C11" s="11" t="n">
        <v>80</v>
      </c>
      <c r="D11" s="11" t="n">
        <v>25</v>
      </c>
      <c r="E11" s="12" t="n">
        <v>0.3</v>
      </c>
      <c r="F11" s="12" t="n">
        <v>1.7057</v>
      </c>
      <c r="G11" s="11" t="n">
        <v>65</v>
      </c>
    </row>
    <row r="12">
      <c r="A12" s="13" t="n">
        <v>4</v>
      </c>
      <c r="B12" s="13" t="n">
        <v>30</v>
      </c>
      <c r="C12" s="13" t="n">
        <v>120</v>
      </c>
      <c r="D12" s="13" t="n">
        <v>1</v>
      </c>
      <c r="E12" s="14" t="n">
        <v>0.3</v>
      </c>
      <c r="F12" s="14" t="n">
        <v>1.735</v>
      </c>
      <c r="G12" s="13" t="n">
        <v>25</v>
      </c>
    </row>
    <row r="13">
      <c r="A13" s="13" t="n">
        <v>4</v>
      </c>
      <c r="B13" s="13" t="n">
        <v>40</v>
      </c>
      <c r="C13" s="13" t="n">
        <v>160</v>
      </c>
      <c r="D13" s="13" t="n">
        <v>1</v>
      </c>
      <c r="E13" s="14" t="n">
        <v>0.3</v>
      </c>
      <c r="F13" s="14" t="n">
        <v>1.735</v>
      </c>
      <c r="G13" s="13" t="n">
        <v>29</v>
      </c>
    </row>
    <row r="14">
      <c r="A14" s="13" t="n">
        <v>4</v>
      </c>
      <c r="B14" s="13" t="n">
        <v>50</v>
      </c>
      <c r="C14" s="13" t="n">
        <v>200</v>
      </c>
      <c r="D14" s="13" t="n">
        <v>1</v>
      </c>
      <c r="E14" s="14" t="n">
        <v>0.3</v>
      </c>
      <c r="F14" s="14" t="n">
        <v>1.735</v>
      </c>
      <c r="G14" s="13" t="n">
        <v>39</v>
      </c>
    </row>
    <row r="15">
      <c r="A15" s="13" t="n">
        <v>6</v>
      </c>
      <c r="B15" s="13" t="n">
        <v>10</v>
      </c>
      <c r="C15" s="13" t="n">
        <v>60</v>
      </c>
      <c r="D15" s="13" t="n">
        <v>1</v>
      </c>
      <c r="E15" s="14" t="n">
        <v>0.3</v>
      </c>
      <c r="F15" s="14" t="n">
        <v>1.735</v>
      </c>
      <c r="G15" s="13" t="n">
        <v>14</v>
      </c>
    </row>
    <row r="16">
      <c r="A16" s="13" t="n">
        <v>6</v>
      </c>
      <c r="B16" s="13" t="n">
        <v>20</v>
      </c>
      <c r="C16" s="13" t="n">
        <v>120</v>
      </c>
      <c r="D16" s="13" t="n">
        <v>1</v>
      </c>
      <c r="E16" s="14" t="n">
        <v>0.3</v>
      </c>
      <c r="F16" s="14" t="n">
        <v>1.735</v>
      </c>
      <c r="G16" s="13" t="n">
        <v>27</v>
      </c>
    </row>
    <row r="17">
      <c r="A17" s="13" t="n">
        <v>6</v>
      </c>
      <c r="B17" s="13" t="n">
        <v>30</v>
      </c>
      <c r="C17" s="13" t="n">
        <v>180</v>
      </c>
      <c r="D17" s="13" t="n">
        <v>1</v>
      </c>
      <c r="E17" s="14" t="n">
        <v>0.3</v>
      </c>
      <c r="F17" s="14" t="n">
        <v>1.735</v>
      </c>
      <c r="G17" s="13" t="n">
        <v>41</v>
      </c>
    </row>
    <row r="18">
      <c r="A18" s="13" t="n">
        <v>6</v>
      </c>
      <c r="B18" s="13" t="n">
        <v>40</v>
      </c>
      <c r="C18" s="13" t="n">
        <v>240</v>
      </c>
      <c r="D18" s="13" t="n">
        <v>1</v>
      </c>
      <c r="E18" s="14" t="n">
        <v>0.3</v>
      </c>
      <c r="F18" s="14" t="n">
        <v>1.735</v>
      </c>
      <c r="G18" s="13" t="n">
        <v>49</v>
      </c>
    </row>
    <row r="19">
      <c r="A19" s="13" t="n">
        <v>6</v>
      </c>
      <c r="B19" s="13" t="n">
        <v>50</v>
      </c>
      <c r="C19" s="13" t="n">
        <v>300</v>
      </c>
      <c r="D19" s="13" t="n">
        <v>1</v>
      </c>
      <c r="E19" s="14" t="n">
        <v>0.3</v>
      </c>
      <c r="F19" s="14" t="n">
        <v>1.735</v>
      </c>
      <c r="G19" s="13" t="n">
        <v>56</v>
      </c>
    </row>
    <row r="20">
      <c r="A20" s="11" t="n">
        <v>8</v>
      </c>
      <c r="B20" s="11" t="n">
        <v>10</v>
      </c>
      <c r="C20" s="11" t="n">
        <v>80</v>
      </c>
      <c r="D20" s="11" t="n">
        <v>25</v>
      </c>
      <c r="E20" s="12" t="n">
        <v>0.3</v>
      </c>
      <c r="F20" s="12" t="n">
        <v>1.7057</v>
      </c>
      <c r="G20" s="11" t="n">
        <v>64</v>
      </c>
    </row>
    <row r="21">
      <c r="A21" s="13" t="n">
        <v>8</v>
      </c>
      <c r="B21" s="13" t="n">
        <v>20</v>
      </c>
      <c r="C21" s="13" t="n">
        <v>160</v>
      </c>
      <c r="D21" s="13" t="n">
        <v>1</v>
      </c>
      <c r="E21" s="14" t="n">
        <v>0.3</v>
      </c>
      <c r="F21" s="14" t="n">
        <v>1.735</v>
      </c>
      <c r="G21" s="13" t="n">
        <v>30</v>
      </c>
    </row>
    <row r="22">
      <c r="A22" s="11" t="n">
        <v>8</v>
      </c>
      <c r="B22" s="11" t="n">
        <v>30</v>
      </c>
      <c r="C22" s="11" t="n">
        <v>240</v>
      </c>
      <c r="D22" s="11" t="n">
        <v>25</v>
      </c>
      <c r="E22" s="12" t="n">
        <v>0.3</v>
      </c>
      <c r="F22" s="12" t="n">
        <v>1.7057</v>
      </c>
      <c r="G22" s="11" t="n">
        <v>184</v>
      </c>
    </row>
    <row r="23">
      <c r="A23" s="11" t="n">
        <v>8</v>
      </c>
      <c r="B23" s="11" t="n">
        <v>40</v>
      </c>
      <c r="C23" s="11" t="n">
        <v>320</v>
      </c>
      <c r="D23" s="11" t="n">
        <v>25</v>
      </c>
      <c r="E23" s="12" t="n">
        <v>0.3</v>
      </c>
      <c r="F23" s="12" t="n">
        <v>1.7057</v>
      </c>
      <c r="G23" s="11" t="n">
        <v>261</v>
      </c>
    </row>
    <row r="24">
      <c r="A24" s="13" t="n">
        <v>8</v>
      </c>
      <c r="B24" s="13" t="n">
        <v>50</v>
      </c>
      <c r="C24" s="13" t="n">
        <v>400</v>
      </c>
      <c r="D24" s="13" t="n">
        <v>1</v>
      </c>
      <c r="E24" s="14" t="n">
        <v>0.3</v>
      </c>
      <c r="F24" s="14" t="n">
        <v>1.735</v>
      </c>
      <c r="G24" s="13" t="n">
        <v>79</v>
      </c>
    </row>
    <row r="25">
      <c r="A25" s="11" t="n">
        <v>10</v>
      </c>
      <c r="B25" s="11" t="n">
        <v>10</v>
      </c>
      <c r="C25" s="11" t="n">
        <v>100</v>
      </c>
      <c r="D25" s="11" t="n">
        <v>25</v>
      </c>
      <c r="E25" s="12" t="n">
        <v>0.3</v>
      </c>
      <c r="F25" s="12" t="n">
        <v>1.7057</v>
      </c>
      <c r="G25" s="11" t="n">
        <v>75</v>
      </c>
    </row>
    <row r="26">
      <c r="A26" s="13" t="n">
        <v>10</v>
      </c>
      <c r="B26" s="13" t="n">
        <v>20</v>
      </c>
      <c r="C26" s="13" t="n">
        <v>200</v>
      </c>
      <c r="D26" s="13" t="n">
        <v>1</v>
      </c>
      <c r="E26" s="14" t="n">
        <v>0.3</v>
      </c>
      <c r="F26" s="14" t="n">
        <v>1.735</v>
      </c>
      <c r="G26" s="13" t="n">
        <v>40</v>
      </c>
    </row>
    <row r="27">
      <c r="A27" s="13" t="n">
        <v>10</v>
      </c>
      <c r="B27" s="13" t="n">
        <v>30</v>
      </c>
      <c r="C27" s="13" t="n">
        <v>300</v>
      </c>
      <c r="D27" s="13" t="n">
        <v>1</v>
      </c>
      <c r="E27" s="14" t="n">
        <v>0.3</v>
      </c>
      <c r="F27" s="14" t="n">
        <v>1.735</v>
      </c>
      <c r="G27" s="13" t="n">
        <v>56</v>
      </c>
    </row>
    <row r="28">
      <c r="A28" s="11" t="n">
        <v>10</v>
      </c>
      <c r="B28" s="11" t="n">
        <v>40</v>
      </c>
      <c r="C28" s="11" t="n">
        <v>400</v>
      </c>
      <c r="D28" s="11" t="n">
        <v>25</v>
      </c>
      <c r="E28" s="12" t="n">
        <v>0.3</v>
      </c>
      <c r="F28" s="12" t="n">
        <v>1.7057</v>
      </c>
      <c r="G28" s="11" t="n">
        <v>318</v>
      </c>
    </row>
    <row r="29">
      <c r="A29" s="11" t="n">
        <v>10</v>
      </c>
      <c r="B29" s="11" t="n">
        <v>50</v>
      </c>
      <c r="C29" s="11" t="n">
        <v>500</v>
      </c>
      <c r="D29" s="11" t="n">
        <v>25</v>
      </c>
      <c r="E29" s="12" t="n">
        <v>0.3</v>
      </c>
      <c r="F29" s="12" t="n">
        <v>1.7057</v>
      </c>
      <c r="G29" s="11" t="n">
        <v>409</v>
      </c>
    </row>
    <row r="31">
      <c r="A31" s="5" t="inlineStr">
        <is>
          <t>Matriz de aptitudes F (filas: partículas, columnas: iteraciones)</t>
        </is>
      </c>
    </row>
    <row r="32">
      <c r="A32" s="10" t="inlineStr">
        <is>
          <t>n \ T</t>
        </is>
      </c>
      <c r="B32" s="10" t="inlineStr">
        <is>
          <t>T = 10</t>
        </is>
      </c>
      <c r="C32" s="10" t="inlineStr">
        <is>
          <t>T = 20</t>
        </is>
      </c>
      <c r="D32" s="10" t="inlineStr">
        <is>
          <t>T = 30</t>
        </is>
      </c>
      <c r="E32" s="10" t="inlineStr">
        <is>
          <t>T = 40</t>
        </is>
      </c>
      <c r="F32" s="10" t="inlineStr">
        <is>
          <t>T = 50</t>
        </is>
      </c>
    </row>
    <row r="33">
      <c r="A33" s="15" t="inlineStr">
        <is>
          <t>n = 2</t>
        </is>
      </c>
      <c r="B33" s="12" t="n">
        <v>1.699</v>
      </c>
      <c r="C33" s="14" t="n">
        <v>1.735</v>
      </c>
      <c r="D33" s="12" t="n">
        <v>1.7057</v>
      </c>
      <c r="E33" s="14" t="n">
        <v>1.735</v>
      </c>
      <c r="F33" s="14" t="n">
        <v>1.735</v>
      </c>
    </row>
    <row r="34">
      <c r="A34" s="15" t="inlineStr">
        <is>
          <t>n = 4</t>
        </is>
      </c>
      <c r="B34" s="14" t="n">
        <v>1.735</v>
      </c>
      <c r="C34" s="12" t="n">
        <v>1.7057</v>
      </c>
      <c r="D34" s="14" t="n">
        <v>1.735</v>
      </c>
      <c r="E34" s="14" t="n">
        <v>1.735</v>
      </c>
      <c r="F34" s="14" t="n">
        <v>1.735</v>
      </c>
    </row>
    <row r="35">
      <c r="A35" s="15" t="inlineStr">
        <is>
          <t>n = 6</t>
        </is>
      </c>
      <c r="B35" s="14" t="n">
        <v>1.735</v>
      </c>
      <c r="C35" s="14" t="n">
        <v>1.735</v>
      </c>
      <c r="D35" s="14" t="n">
        <v>1.735</v>
      </c>
      <c r="E35" s="14" t="n">
        <v>1.735</v>
      </c>
      <c r="F35" s="14" t="n">
        <v>1.735</v>
      </c>
    </row>
    <row r="36">
      <c r="A36" s="15" t="inlineStr">
        <is>
          <t>n = 8</t>
        </is>
      </c>
      <c r="B36" s="12" t="n">
        <v>1.7057</v>
      </c>
      <c r="C36" s="14" t="n">
        <v>1.735</v>
      </c>
      <c r="D36" s="12" t="n">
        <v>1.7057</v>
      </c>
      <c r="E36" s="12" t="n">
        <v>1.7057</v>
      </c>
      <c r="F36" s="14" t="n">
        <v>1.735</v>
      </c>
    </row>
    <row r="37">
      <c r="A37" s="15" t="inlineStr">
        <is>
          <t>n = 10</t>
        </is>
      </c>
      <c r="B37" s="12" t="n">
        <v>1.7057</v>
      </c>
      <c r="C37" s="14" t="n">
        <v>1.735</v>
      </c>
      <c r="D37" s="14" t="n">
        <v>1.735</v>
      </c>
      <c r="E37" s="12" t="n">
        <v>1.7057</v>
      </c>
      <c r="F37" s="12" t="n">
        <v>1.7057</v>
      </c>
    </row>
    <row r="39">
      <c r="A39" s="7" t="inlineStr">
        <is>
          <t>Lectura: n = 2 cae en el óptimo local r = 1 en 2 de 5 corridas; con n = 10 y T &gt;= 30 el óptimo global (r = 25, m ≈ 0,07) se alcanza de forma consistente.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</cols>
  <sheetData>
    <row r="1">
      <c r="A1" s="1" t="inlineStr">
        <is>
          <t>Benchmark — 7 métodos × nueve métricas (promedio de 20 pares TNO)</t>
        </is>
      </c>
    </row>
    <row r="2">
      <c r="A2" s="2" t="inlineStr">
        <is>
          <t>Negrita = mejor de la columna (todas las métricas de tipo «mayor es mejor»).</t>
        </is>
      </c>
    </row>
    <row r="4">
      <c r="A4" s="10" t="inlineStr">
        <is>
          <t>Método</t>
        </is>
      </c>
      <c r="B4" s="10" t="inlineStr">
        <is>
          <t>EN ↑</t>
        </is>
      </c>
      <c r="C4" s="10" t="inlineStr">
        <is>
          <t>SD ↑</t>
        </is>
      </c>
      <c r="D4" s="10" t="inlineStr">
        <is>
          <t>FE ↑</t>
        </is>
      </c>
      <c r="E4" s="10" t="inlineStr">
        <is>
          <t>MG ↑</t>
        </is>
      </c>
      <c r="F4" s="10" t="inlineStr">
        <is>
          <t>MI_vis ↑</t>
        </is>
      </c>
      <c r="G4" s="10" t="inlineStr">
        <is>
          <t>MI_ir ↑</t>
        </is>
      </c>
      <c r="H4" s="10" t="inlineStr">
        <is>
          <t>SF ↑</t>
        </is>
      </c>
      <c r="I4" s="10" t="inlineStr">
        <is>
          <t>SSIM ↑</t>
        </is>
      </c>
      <c r="J4" s="10" t="inlineStr">
        <is>
          <t>PSNR ↑</t>
        </is>
      </c>
    </row>
    <row r="5">
      <c r="A5" s="9" t="inlineStr">
        <is>
          <t>Pirámide de Laplace (LP)</t>
        </is>
      </c>
      <c r="B5" s="16" t="n">
        <v>6.84</v>
      </c>
      <c r="C5" s="17" t="n">
        <v>0.155</v>
      </c>
      <c r="D5" s="16" t="n">
        <v>1.0806</v>
      </c>
      <c r="E5" s="16" t="n">
        <v>0.0252</v>
      </c>
      <c r="F5" s="17" t="n">
        <v>1.9242</v>
      </c>
      <c r="G5" s="17" t="n">
        <v>0.9177999999999999</v>
      </c>
      <c r="H5" s="16" t="n">
        <v>13.2205</v>
      </c>
      <c r="I5" s="16" t="n">
        <v>0.7059</v>
      </c>
      <c r="J5" s="16" t="n">
        <v>14.9401</v>
      </c>
    </row>
    <row r="6">
      <c r="A6" s="9" t="inlineStr">
        <is>
          <t>Ratio of low-pass Pyramid (RP)</t>
        </is>
      </c>
      <c r="B6" s="16" t="n">
        <v>6.8098</v>
      </c>
      <c r="C6" s="16" t="n">
        <v>0.1271</v>
      </c>
      <c r="D6" s="16" t="n">
        <v>1.077</v>
      </c>
      <c r="E6" s="16" t="n">
        <v>0.0275</v>
      </c>
      <c r="F6" s="16" t="n">
        <v>0.9485</v>
      </c>
      <c r="G6" s="16" t="n">
        <v>0.6504</v>
      </c>
      <c r="H6" s="16" t="n">
        <v>13.6209</v>
      </c>
      <c r="I6" s="16" t="n">
        <v>0.7050999999999999</v>
      </c>
      <c r="J6" s="16" t="n">
        <v>17.3689</v>
      </c>
    </row>
    <row r="7">
      <c r="A7" s="9" t="inlineStr">
        <is>
          <t>Wavelet discreta (DWT)</t>
        </is>
      </c>
      <c r="B7" s="16" t="n">
        <v>6.6816</v>
      </c>
      <c r="C7" s="16" t="n">
        <v>0.1166</v>
      </c>
      <c r="D7" s="16" t="n">
        <v>1.0566</v>
      </c>
      <c r="E7" s="16" t="n">
        <v>0.0275</v>
      </c>
      <c r="F7" s="16" t="n">
        <v>1.0764</v>
      </c>
      <c r="G7" s="16" t="n">
        <v>0.6657999999999999</v>
      </c>
      <c r="H7" s="16" t="n">
        <v>14.1888</v>
      </c>
      <c r="I7" s="16" t="n">
        <v>0.7014</v>
      </c>
      <c r="J7" s="16" t="n">
        <v>17.5886</v>
      </c>
    </row>
    <row r="8">
      <c r="A8" s="9" t="inlineStr">
        <is>
          <t>Dual-Tree Complex Wavelet (DTCWT)</t>
        </is>
      </c>
      <c r="B8" s="16" t="n">
        <v>6.6877</v>
      </c>
      <c r="C8" s="16" t="n">
        <v>0.1172</v>
      </c>
      <c r="D8" s="16" t="n">
        <v>1.0577</v>
      </c>
      <c r="E8" s="16" t="n">
        <v>0.0255</v>
      </c>
      <c r="F8" s="16" t="n">
        <v>1.0781</v>
      </c>
      <c r="G8" s="16" t="n">
        <v>0.6728</v>
      </c>
      <c r="H8" s="16" t="n">
        <v>13.199</v>
      </c>
      <c r="I8" s="17" t="n">
        <v>0.7249</v>
      </c>
      <c r="J8" s="16" t="n">
        <v>17.5974</v>
      </c>
    </row>
    <row r="9">
      <c r="A9" s="9" t="inlineStr">
        <is>
          <t>Wavelet db4 (CVT)</t>
        </is>
      </c>
      <c r="B9" s="16" t="n">
        <v>6.6445</v>
      </c>
      <c r="C9" s="16" t="n">
        <v>0.1132</v>
      </c>
      <c r="D9" s="16" t="n">
        <v>1.0507</v>
      </c>
      <c r="E9" s="16" t="n">
        <v>0.026</v>
      </c>
      <c r="F9" s="16" t="n">
        <v>1.0961</v>
      </c>
      <c r="G9" s="16" t="n">
        <v>0.6695</v>
      </c>
      <c r="H9" s="16" t="n">
        <v>13.3379</v>
      </c>
      <c r="I9" s="16" t="n">
        <v>0.7161999999999999</v>
      </c>
      <c r="J9" s="17" t="n">
        <v>17.6523</v>
      </c>
    </row>
    <row r="10">
      <c r="A10" s="9" t="inlineStr">
        <is>
          <t>Top-Hat clásico</t>
        </is>
      </c>
      <c r="B10" s="16" t="n">
        <v>6.922</v>
      </c>
      <c r="C10" s="16" t="n">
        <v>0.1352</v>
      </c>
      <c r="D10" s="16" t="n">
        <v>1.0952</v>
      </c>
      <c r="E10" s="17" t="n">
        <v>0.0478</v>
      </c>
      <c r="F10" s="16" t="n">
        <v>0.7867</v>
      </c>
      <c r="G10" s="16" t="n">
        <v>0.4928</v>
      </c>
      <c r="H10" s="17" t="n">
        <v>23.1</v>
      </c>
      <c r="I10" s="16" t="n">
        <v>0.5639999999999999</v>
      </c>
      <c r="J10" s="16" t="n">
        <v>16.8728</v>
      </c>
    </row>
    <row r="11">
      <c r="A11" s="8" t="inlineStr">
        <is>
          <t>PROPUESTA NOVEDOSA (r=25, m=0,30)</t>
        </is>
      </c>
      <c r="B11" s="17" t="n">
        <v>6.9855</v>
      </c>
      <c r="C11" s="17" t="n">
        <v>0.1439</v>
      </c>
      <c r="D11" s="17" t="n">
        <v>1.1047</v>
      </c>
      <c r="E11" s="17" t="n">
        <v>0.0355</v>
      </c>
      <c r="F11" s="17" t="n">
        <v>0.897</v>
      </c>
      <c r="G11" s="17" t="n">
        <v>0.6002999999999999</v>
      </c>
      <c r="H11" s="17" t="n">
        <v>17.4425</v>
      </c>
      <c r="I11" s="17" t="n">
        <v>0.6584</v>
      </c>
      <c r="J11" s="17" t="n">
        <v>16.8409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</cols>
  <sheetData>
    <row r="1">
      <c r="A1" s="1" t="inlineStr">
        <is>
          <t>Benchmark escena por escena — los 7 métodos en cada uno de los 20 pares del TNO</t>
        </is>
      </c>
    </row>
    <row r="2">
      <c r="A2" s="2" t="inlineStr">
        <is>
          <t>En negrita el mejor valor de cada métrica dentro de cada escena. Todas las métricas son de tipo «mayor es mejor». Equivale a las Tablas 4a-4e del informe de avances, ampliado a las nueve métricas.</t>
        </is>
      </c>
    </row>
    <row r="4">
      <c r="A4" s="10" t="inlineStr">
        <is>
          <t>Escena</t>
        </is>
      </c>
      <c r="B4" s="10" t="inlineStr">
        <is>
          <t>Método</t>
        </is>
      </c>
      <c r="C4" s="10" t="inlineStr">
        <is>
          <t>EN</t>
        </is>
      </c>
      <c r="D4" s="10" t="inlineStr">
        <is>
          <t>SD</t>
        </is>
      </c>
      <c r="E4" s="10" t="inlineStr">
        <is>
          <t>FE</t>
        </is>
      </c>
      <c r="F4" s="10" t="inlineStr">
        <is>
          <t>MG</t>
        </is>
      </c>
      <c r="G4" s="10" t="inlineStr">
        <is>
          <t>MI_vis</t>
        </is>
      </c>
      <c r="H4" s="10" t="inlineStr">
        <is>
          <t>MI_ir</t>
        </is>
      </c>
      <c r="I4" s="10" t="inlineStr">
        <is>
          <t>SF</t>
        </is>
      </c>
      <c r="J4" s="10" t="inlineStr">
        <is>
          <t>SSIM</t>
        </is>
      </c>
      <c r="K4" s="10" t="inlineStr">
        <is>
          <t>PSNR</t>
        </is>
      </c>
    </row>
    <row r="5">
      <c r="A5" s="8" t="inlineStr">
        <is>
          <t>APC_1_view_1_fk_06_005</t>
        </is>
      </c>
      <c r="B5" s="9" t="inlineStr">
        <is>
          <t>Pirámide de Laplace (LP)</t>
        </is>
      </c>
      <c r="C5" s="18" t="n">
        <v>6.59626</v>
      </c>
      <c r="D5" s="18" t="n">
        <v>0.10543</v>
      </c>
      <c r="E5" s="18" t="n">
        <v>1.22565</v>
      </c>
      <c r="F5" s="18" t="n">
        <v>0.02404</v>
      </c>
      <c r="G5" s="19" t="n">
        <v>1.37062</v>
      </c>
      <c r="H5" s="19" t="n">
        <v>1.10413</v>
      </c>
      <c r="I5" s="18" t="n">
        <v>13.8419</v>
      </c>
      <c r="J5" s="18" t="n">
        <v>0.72157</v>
      </c>
      <c r="K5" s="18" t="n">
        <v>17.56691</v>
      </c>
    </row>
    <row r="6">
      <c r="A6" s="9" t="inlineStr"/>
      <c r="B6" s="9" t="inlineStr">
        <is>
          <t>Ratio of low-pass Pyramid (RP)</t>
        </is>
      </c>
      <c r="C6" s="18" t="n">
        <v>6.70787</v>
      </c>
      <c r="D6" s="18" t="n">
        <v>0.1081</v>
      </c>
      <c r="E6" s="18" t="n">
        <v>1.24639</v>
      </c>
      <c r="F6" s="18" t="n">
        <v>0.02428</v>
      </c>
      <c r="G6" s="18" t="n">
        <v>0.67064</v>
      </c>
      <c r="H6" s="18" t="n">
        <v>1.00893</v>
      </c>
      <c r="I6" s="18" t="n">
        <v>14.84247</v>
      </c>
      <c r="J6" s="19" t="n">
        <v>0.74546</v>
      </c>
      <c r="K6" s="18" t="n">
        <v>19.84633</v>
      </c>
    </row>
    <row r="7">
      <c r="A7" s="9" t="inlineStr"/>
      <c r="B7" s="9" t="inlineStr">
        <is>
          <t>Wavelet discreta (DWT)</t>
        </is>
      </c>
      <c r="C7" s="18" t="n">
        <v>6.55114</v>
      </c>
      <c r="D7" s="18" t="n">
        <v>0.09805999999999999</v>
      </c>
      <c r="E7" s="18" t="n">
        <v>1.21727</v>
      </c>
      <c r="F7" s="18" t="n">
        <v>0.02617</v>
      </c>
      <c r="G7" s="18" t="n">
        <v>0.84788</v>
      </c>
      <c r="H7" s="18" t="n">
        <v>0.83345</v>
      </c>
      <c r="I7" s="18" t="n">
        <v>15.28485</v>
      </c>
      <c r="J7" s="18" t="n">
        <v>0.71926</v>
      </c>
      <c r="K7" s="18" t="n">
        <v>20.06718</v>
      </c>
    </row>
    <row r="8">
      <c r="A8" s="9" t="inlineStr"/>
      <c r="B8" s="9" t="inlineStr">
        <is>
          <t>Dual-Tree Complex Wavelet (DTCWT)</t>
        </is>
      </c>
      <c r="C8" s="18" t="n">
        <v>6.55078</v>
      </c>
      <c r="D8" s="18" t="n">
        <v>0.09895</v>
      </c>
      <c r="E8" s="18" t="n">
        <v>1.2172</v>
      </c>
      <c r="F8" s="18" t="n">
        <v>0.02431</v>
      </c>
      <c r="G8" s="18" t="n">
        <v>0.78471</v>
      </c>
      <c r="H8" s="18" t="n">
        <v>0.90194</v>
      </c>
      <c r="I8" s="18" t="n">
        <v>14.4637</v>
      </c>
      <c r="J8" s="18" t="n">
        <v>0.7418400000000001</v>
      </c>
      <c r="K8" s="18" t="n">
        <v>20.07229</v>
      </c>
    </row>
    <row r="9">
      <c r="A9" s="9" t="inlineStr"/>
      <c r="B9" s="9" t="inlineStr">
        <is>
          <t>Wavelet db4 (CVT)</t>
        </is>
      </c>
      <c r="C9" s="18" t="n">
        <v>6.52192</v>
      </c>
      <c r="D9" s="18" t="n">
        <v>0.09655</v>
      </c>
      <c r="E9" s="18" t="n">
        <v>1.21184</v>
      </c>
      <c r="F9" s="18" t="n">
        <v>0.02503</v>
      </c>
      <c r="G9" s="18" t="n">
        <v>0.87385</v>
      </c>
      <c r="H9" s="18" t="n">
        <v>0.83724</v>
      </c>
      <c r="I9" s="18" t="n">
        <v>14.82389</v>
      </c>
      <c r="J9" s="18" t="n">
        <v>0.73227</v>
      </c>
      <c r="K9" s="19" t="n">
        <v>20.11699</v>
      </c>
    </row>
    <row r="10">
      <c r="A10" s="9" t="inlineStr"/>
      <c r="B10" s="9" t="inlineStr">
        <is>
          <t>Top-Hat clásico</t>
        </is>
      </c>
      <c r="C10" s="18" t="n">
        <v>6.82114</v>
      </c>
      <c r="D10" s="18" t="n">
        <v>0.11995</v>
      </c>
      <c r="E10" s="18" t="n">
        <v>1.26743</v>
      </c>
      <c r="F10" s="19" t="n">
        <v>0.04392</v>
      </c>
      <c r="G10" s="18" t="n">
        <v>0.54191</v>
      </c>
      <c r="H10" s="18" t="n">
        <v>0.64523</v>
      </c>
      <c r="I10" s="19" t="n">
        <v>22.94585</v>
      </c>
      <c r="J10" s="18" t="n">
        <v>0.58547</v>
      </c>
      <c r="K10" s="18" t="n">
        <v>19.008</v>
      </c>
    </row>
    <row r="11">
      <c r="A11" s="9" t="inlineStr"/>
      <c r="B11" s="8" t="inlineStr">
        <is>
          <t>PROPUESTA NOVEDOSA (r=25, m=0,30)</t>
        </is>
      </c>
      <c r="C11" s="19" t="n">
        <v>6.86487</v>
      </c>
      <c r="D11" s="19" t="n">
        <v>0.12581</v>
      </c>
      <c r="E11" s="19" t="n">
        <v>1.27556</v>
      </c>
      <c r="F11" s="18" t="n">
        <v>0.03393</v>
      </c>
      <c r="G11" s="18" t="n">
        <v>0.59674</v>
      </c>
      <c r="H11" s="18" t="n">
        <v>0.90354</v>
      </c>
      <c r="I11" s="18" t="n">
        <v>19.00929</v>
      </c>
      <c r="J11" s="18" t="n">
        <v>0.6734</v>
      </c>
      <c r="K11" s="18" t="n">
        <v>18.97018</v>
      </c>
    </row>
    <row r="12">
      <c r="A12" s="8" t="inlineStr">
        <is>
          <t>APC_1_view_2_fk_ref_01_005</t>
        </is>
      </c>
      <c r="B12" s="9" t="inlineStr">
        <is>
          <t>Pirámide de Laplace (LP)</t>
        </is>
      </c>
      <c r="C12" s="18" t="n">
        <v>7.01095</v>
      </c>
      <c r="D12" s="18" t="n">
        <v>0.13824</v>
      </c>
      <c r="E12" s="18" t="n">
        <v>1.15038</v>
      </c>
      <c r="F12" s="18" t="n">
        <v>0.02327</v>
      </c>
      <c r="G12" s="19" t="n">
        <v>2.31993</v>
      </c>
      <c r="H12" s="19" t="n">
        <v>0.99316</v>
      </c>
      <c r="I12" s="18" t="n">
        <v>13.73683</v>
      </c>
      <c r="J12" s="18" t="n">
        <v>0.7792</v>
      </c>
      <c r="K12" s="18" t="n">
        <v>18.63797</v>
      </c>
    </row>
    <row r="13">
      <c r="A13" s="9" t="inlineStr"/>
      <c r="B13" s="9" t="inlineStr">
        <is>
          <t>Ratio of low-pass Pyramid (RP)</t>
        </is>
      </c>
      <c r="C13" s="18" t="n">
        <v>6.82976</v>
      </c>
      <c r="D13" s="18" t="n">
        <v>0.1175</v>
      </c>
      <c r="E13" s="18" t="n">
        <v>1.12065</v>
      </c>
      <c r="F13" s="18" t="n">
        <v>0.0225</v>
      </c>
      <c r="G13" s="18" t="n">
        <v>1.26457</v>
      </c>
      <c r="H13" s="18" t="n">
        <v>0.91343</v>
      </c>
      <c r="I13" s="18" t="n">
        <v>12.52108</v>
      </c>
      <c r="J13" s="19" t="n">
        <v>0.80108</v>
      </c>
      <c r="K13" s="18" t="n">
        <v>21.16004</v>
      </c>
    </row>
    <row r="14">
      <c r="A14" s="9" t="inlineStr"/>
      <c r="B14" s="9" t="inlineStr">
        <is>
          <t>Wavelet discreta (DWT)</t>
        </is>
      </c>
      <c r="C14" s="18" t="n">
        <v>6.74217</v>
      </c>
      <c r="D14" s="18" t="n">
        <v>0.11312</v>
      </c>
      <c r="E14" s="18" t="n">
        <v>1.10628</v>
      </c>
      <c r="F14" s="18" t="n">
        <v>0.02465</v>
      </c>
      <c r="G14" s="18" t="n">
        <v>1.4218</v>
      </c>
      <c r="H14" s="18" t="n">
        <v>0.80243</v>
      </c>
      <c r="I14" s="18" t="n">
        <v>14.25939</v>
      </c>
      <c r="J14" s="18" t="n">
        <v>0.77195</v>
      </c>
      <c r="K14" s="18" t="n">
        <v>21.22357</v>
      </c>
    </row>
    <row r="15">
      <c r="A15" s="9" t="inlineStr"/>
      <c r="B15" s="9" t="inlineStr">
        <is>
          <t>Dual-Tree Complex Wavelet (DTCWT)</t>
        </is>
      </c>
      <c r="C15" s="18" t="n">
        <v>6.74577</v>
      </c>
      <c r="D15" s="18" t="n">
        <v>0.11364</v>
      </c>
      <c r="E15" s="18" t="n">
        <v>1.10687</v>
      </c>
      <c r="F15" s="18" t="n">
        <v>0.02322</v>
      </c>
      <c r="G15" s="18" t="n">
        <v>1.42365</v>
      </c>
      <c r="H15" s="18" t="n">
        <v>0.8287600000000001</v>
      </c>
      <c r="I15" s="18" t="n">
        <v>13.75424</v>
      </c>
      <c r="J15" s="18" t="n">
        <v>0.79389</v>
      </c>
      <c r="K15" s="18" t="n">
        <v>21.23519</v>
      </c>
    </row>
    <row r="16">
      <c r="A16" s="9" t="inlineStr"/>
      <c r="B16" s="9" t="inlineStr">
        <is>
          <t>Wavelet db4 (CVT)</t>
        </is>
      </c>
      <c r="C16" s="18" t="n">
        <v>6.71961</v>
      </c>
      <c r="D16" s="18" t="n">
        <v>0.11169</v>
      </c>
      <c r="E16" s="18" t="n">
        <v>1.10258</v>
      </c>
      <c r="F16" s="18" t="n">
        <v>0.02365</v>
      </c>
      <c r="G16" s="18" t="n">
        <v>1.47255</v>
      </c>
      <c r="H16" s="18" t="n">
        <v>0.80554</v>
      </c>
      <c r="I16" s="18" t="n">
        <v>13.85716</v>
      </c>
      <c r="J16" s="18" t="n">
        <v>0.78609</v>
      </c>
      <c r="K16" s="19" t="n">
        <v>21.28882</v>
      </c>
    </row>
    <row r="17">
      <c r="A17" s="9" t="inlineStr"/>
      <c r="B17" s="9" t="inlineStr">
        <is>
          <t>Top-Hat clásico</t>
        </is>
      </c>
      <c r="C17" s="18" t="n">
        <v>6.94596</v>
      </c>
      <c r="D17" s="18" t="n">
        <v>0.13153</v>
      </c>
      <c r="E17" s="18" t="n">
        <v>1.13972</v>
      </c>
      <c r="F17" s="19" t="n">
        <v>0.04427</v>
      </c>
      <c r="G17" s="18" t="n">
        <v>1.02886</v>
      </c>
      <c r="H17" s="18" t="n">
        <v>0.69416</v>
      </c>
      <c r="I17" s="19" t="n">
        <v>23.16733</v>
      </c>
      <c r="J17" s="18" t="n">
        <v>0.61722</v>
      </c>
      <c r="K17" s="18" t="n">
        <v>19.97434</v>
      </c>
    </row>
    <row r="18">
      <c r="A18" s="9" t="inlineStr"/>
      <c r="B18" s="8" t="inlineStr">
        <is>
          <t>PROPUESTA NOVEDOSA (r=25, m=0,30)</t>
        </is>
      </c>
      <c r="C18" s="19" t="n">
        <v>7.04566</v>
      </c>
      <c r="D18" s="19" t="n">
        <v>0.14113</v>
      </c>
      <c r="E18" s="19" t="n">
        <v>1.15608</v>
      </c>
      <c r="F18" s="18" t="n">
        <v>0.03342</v>
      </c>
      <c r="G18" s="18" t="n">
        <v>1.07965</v>
      </c>
      <c r="H18" s="18" t="n">
        <v>0.78986</v>
      </c>
      <c r="I18" s="18" t="n">
        <v>18.7637</v>
      </c>
      <c r="J18" s="18" t="n">
        <v>0.70999</v>
      </c>
      <c r="K18" s="18" t="n">
        <v>19.92037</v>
      </c>
    </row>
    <row r="19">
      <c r="A19" s="8" t="inlineStr">
        <is>
          <t>APC_1_view_3_fk_ref_02_005</t>
        </is>
      </c>
      <c r="B19" s="9" t="inlineStr">
        <is>
          <t>Pirámide de Laplace (LP)</t>
        </is>
      </c>
      <c r="C19" s="18" t="n">
        <v>7.27903</v>
      </c>
      <c r="D19" s="18" t="n">
        <v>0.16285</v>
      </c>
      <c r="E19" s="18" t="n">
        <v>1.13346</v>
      </c>
      <c r="F19" s="18" t="n">
        <v>0.02808</v>
      </c>
      <c r="G19" s="19" t="n">
        <v>2.40099</v>
      </c>
      <c r="H19" s="19" t="n">
        <v>1.25369</v>
      </c>
      <c r="I19" s="18" t="n">
        <v>16.01441</v>
      </c>
      <c r="J19" s="18" t="n">
        <v>0.73543</v>
      </c>
      <c r="K19" s="18" t="n">
        <v>17.50153</v>
      </c>
    </row>
    <row r="20">
      <c r="A20" s="9" t="inlineStr"/>
      <c r="B20" s="9" t="inlineStr">
        <is>
          <t>Ratio of low-pass Pyramid (RP)</t>
        </is>
      </c>
      <c r="C20" s="18" t="n">
        <v>7.07216</v>
      </c>
      <c r="D20" s="18" t="n">
        <v>0.14605</v>
      </c>
      <c r="E20" s="18" t="n">
        <v>1.10125</v>
      </c>
      <c r="F20" s="18" t="n">
        <v>0.02713</v>
      </c>
      <c r="G20" s="18" t="n">
        <v>1.42345</v>
      </c>
      <c r="H20" s="18" t="n">
        <v>0.95009</v>
      </c>
      <c r="I20" s="18" t="n">
        <v>14.82921</v>
      </c>
      <c r="J20" s="19" t="n">
        <v>0.75941</v>
      </c>
      <c r="K20" s="18" t="n">
        <v>20.07295</v>
      </c>
    </row>
    <row r="21">
      <c r="A21" s="9" t="inlineStr"/>
      <c r="B21" s="9" t="inlineStr">
        <is>
          <t>Wavelet discreta (DWT)</t>
        </is>
      </c>
      <c r="C21" s="18" t="n">
        <v>7.03835</v>
      </c>
      <c r="D21" s="18" t="n">
        <v>0.14153</v>
      </c>
      <c r="E21" s="18" t="n">
        <v>1.09598</v>
      </c>
      <c r="F21" s="18" t="n">
        <v>0.02943</v>
      </c>
      <c r="G21" s="18" t="n">
        <v>1.59952</v>
      </c>
      <c r="H21" s="18" t="n">
        <v>0.9140200000000001</v>
      </c>
      <c r="I21" s="18" t="n">
        <v>16.61699</v>
      </c>
      <c r="J21" s="18" t="n">
        <v>0.73138</v>
      </c>
      <c r="K21" s="18" t="n">
        <v>20.10736</v>
      </c>
    </row>
    <row r="22">
      <c r="A22" s="9" t="inlineStr"/>
      <c r="B22" s="9" t="inlineStr">
        <is>
          <t>Dual-Tree Complex Wavelet (DTCWT)</t>
        </is>
      </c>
      <c r="C22" s="18" t="n">
        <v>7.02866</v>
      </c>
      <c r="D22" s="18" t="n">
        <v>0.14204</v>
      </c>
      <c r="E22" s="18" t="n">
        <v>1.09447</v>
      </c>
      <c r="F22" s="18" t="n">
        <v>0.02802</v>
      </c>
      <c r="G22" s="18" t="n">
        <v>1.59723</v>
      </c>
      <c r="H22" s="18" t="n">
        <v>0.9438800000000001</v>
      </c>
      <c r="I22" s="18" t="n">
        <v>16.05787</v>
      </c>
      <c r="J22" s="18" t="n">
        <v>0.75263</v>
      </c>
      <c r="K22" s="18" t="n">
        <v>20.1217</v>
      </c>
    </row>
    <row r="23">
      <c r="A23" s="9" t="inlineStr"/>
      <c r="B23" s="9" t="inlineStr">
        <is>
          <t>Wavelet db4 (CVT)</t>
        </is>
      </c>
      <c r="C23" s="18" t="n">
        <v>7.02044</v>
      </c>
      <c r="D23" s="18" t="n">
        <v>0.14016</v>
      </c>
      <c r="E23" s="18" t="n">
        <v>1.09319</v>
      </c>
      <c r="F23" s="18" t="n">
        <v>0.02846</v>
      </c>
      <c r="G23" s="18" t="n">
        <v>1.65709</v>
      </c>
      <c r="H23" s="18" t="n">
        <v>0.91967</v>
      </c>
      <c r="I23" s="18" t="n">
        <v>16.16145</v>
      </c>
      <c r="J23" s="18" t="n">
        <v>0.74378</v>
      </c>
      <c r="K23" s="19" t="n">
        <v>20.16434</v>
      </c>
    </row>
    <row r="24">
      <c r="A24" s="9" t="inlineStr"/>
      <c r="B24" s="9" t="inlineStr">
        <is>
          <t>Top-Hat clásico</t>
        </is>
      </c>
      <c r="C24" s="18" t="n">
        <v>7.22029</v>
      </c>
      <c r="D24" s="18" t="n">
        <v>0.16178</v>
      </c>
      <c r="E24" s="18" t="n">
        <v>1.12431</v>
      </c>
      <c r="F24" s="19" t="n">
        <v>0.05453</v>
      </c>
      <c r="G24" s="18" t="n">
        <v>1.11745</v>
      </c>
      <c r="H24" s="18" t="n">
        <v>0.78359</v>
      </c>
      <c r="I24" s="19" t="n">
        <v>28.33557</v>
      </c>
      <c r="J24" s="18" t="n">
        <v>0.57646</v>
      </c>
      <c r="K24" s="18" t="n">
        <v>18.7199</v>
      </c>
    </row>
    <row r="25">
      <c r="A25" s="9" t="inlineStr"/>
      <c r="B25" s="8" t="inlineStr">
        <is>
          <t>PROPUESTA NOVEDOSA (r=25, m=0,30)</t>
        </is>
      </c>
      <c r="C25" s="19" t="n">
        <v>7.29509</v>
      </c>
      <c r="D25" s="19" t="n">
        <v>0.17055</v>
      </c>
      <c r="E25" s="19" t="n">
        <v>1.13596</v>
      </c>
      <c r="F25" s="18" t="n">
        <v>0.04076</v>
      </c>
      <c r="G25" s="18" t="n">
        <v>1.19779</v>
      </c>
      <c r="H25" s="18" t="n">
        <v>0.8427</v>
      </c>
      <c r="I25" s="18" t="n">
        <v>22.17859</v>
      </c>
      <c r="J25" s="18" t="n">
        <v>0.6657</v>
      </c>
      <c r="K25" s="18" t="n">
        <v>18.79566</v>
      </c>
    </row>
    <row r="26">
      <c r="A26" s="8" t="inlineStr">
        <is>
          <t>APC_3_view_1_fk_bar_06_005</t>
        </is>
      </c>
      <c r="B26" s="9" t="inlineStr">
        <is>
          <t>Pirámide de Laplace (LP)</t>
        </is>
      </c>
      <c r="C26" s="18" t="n">
        <v>6.66512</v>
      </c>
      <c r="D26" s="18" t="n">
        <v>0.10586</v>
      </c>
      <c r="E26" s="18" t="n">
        <v>1.22157</v>
      </c>
      <c r="F26" s="18" t="n">
        <v>0.02231</v>
      </c>
      <c r="G26" s="19" t="n">
        <v>1.39576</v>
      </c>
      <c r="H26" s="19" t="n">
        <v>1.49268</v>
      </c>
      <c r="I26" s="18" t="n">
        <v>13.47605</v>
      </c>
      <c r="J26" s="18" t="n">
        <v>0.80171</v>
      </c>
      <c r="K26" s="18" t="n">
        <v>21.61575</v>
      </c>
    </row>
    <row r="27">
      <c r="A27" s="9" t="inlineStr"/>
      <c r="B27" s="9" t="inlineStr">
        <is>
          <t>Ratio of low-pass Pyramid (RP)</t>
        </is>
      </c>
      <c r="C27" s="18" t="n">
        <v>6.67722</v>
      </c>
      <c r="D27" s="18" t="n">
        <v>0.10636</v>
      </c>
      <c r="E27" s="18" t="n">
        <v>1.22379</v>
      </c>
      <c r="F27" s="18" t="n">
        <v>0.02253</v>
      </c>
      <c r="G27" s="18" t="n">
        <v>0.974</v>
      </c>
      <c r="H27" s="18" t="n">
        <v>1.32316</v>
      </c>
      <c r="I27" s="18" t="n">
        <v>13.27877</v>
      </c>
      <c r="J27" s="19" t="n">
        <v>0.81403</v>
      </c>
      <c r="K27" s="18" t="n">
        <v>23.64721</v>
      </c>
    </row>
    <row r="28">
      <c r="A28" s="9" t="inlineStr"/>
      <c r="B28" s="9" t="inlineStr">
        <is>
          <t>Wavelet discreta (DWT)</t>
        </is>
      </c>
      <c r="C28" s="18" t="n">
        <v>6.56842</v>
      </c>
      <c r="D28" s="18" t="n">
        <v>0.09956</v>
      </c>
      <c r="E28" s="18" t="n">
        <v>1.20385</v>
      </c>
      <c r="F28" s="18" t="n">
        <v>0.02366</v>
      </c>
      <c r="G28" s="18" t="n">
        <v>1.07212</v>
      </c>
      <c r="H28" s="18" t="n">
        <v>1.19483</v>
      </c>
      <c r="I28" s="18" t="n">
        <v>13.9265</v>
      </c>
      <c r="J28" s="18" t="n">
        <v>0.78878</v>
      </c>
      <c r="K28" s="18" t="n">
        <v>23.82886</v>
      </c>
    </row>
    <row r="29">
      <c r="A29" s="9" t="inlineStr"/>
      <c r="B29" s="9" t="inlineStr">
        <is>
          <t>Dual-Tree Complex Wavelet (DTCWT)</t>
        </is>
      </c>
      <c r="C29" s="18" t="n">
        <v>6.5885</v>
      </c>
      <c r="D29" s="18" t="n">
        <v>0.10111</v>
      </c>
      <c r="E29" s="18" t="n">
        <v>1.20753</v>
      </c>
      <c r="F29" s="18" t="n">
        <v>0.02248</v>
      </c>
      <c r="G29" s="18" t="n">
        <v>1.04951</v>
      </c>
      <c r="H29" s="18" t="n">
        <v>1.264</v>
      </c>
      <c r="I29" s="18" t="n">
        <v>13.59053</v>
      </c>
      <c r="J29" s="18" t="n">
        <v>0.81198</v>
      </c>
      <c r="K29" s="18" t="n">
        <v>23.79344</v>
      </c>
    </row>
    <row r="30">
      <c r="A30" s="9" t="inlineStr"/>
      <c r="B30" s="9" t="inlineStr">
        <is>
          <t>Wavelet db4 (CVT)</t>
        </is>
      </c>
      <c r="C30" s="18" t="n">
        <v>6.55155</v>
      </c>
      <c r="D30" s="18" t="n">
        <v>0.09838</v>
      </c>
      <c r="E30" s="18" t="n">
        <v>1.20075</v>
      </c>
      <c r="F30" s="18" t="n">
        <v>0.02289</v>
      </c>
      <c r="G30" s="18" t="n">
        <v>1.10686</v>
      </c>
      <c r="H30" s="18" t="n">
        <v>1.19972</v>
      </c>
      <c r="I30" s="18" t="n">
        <v>13.75293</v>
      </c>
      <c r="J30" s="18" t="n">
        <v>0.80233</v>
      </c>
      <c r="K30" s="19" t="n">
        <v>23.90218</v>
      </c>
    </row>
    <row r="31">
      <c r="A31" s="9" t="inlineStr"/>
      <c r="B31" s="9" t="inlineStr">
        <is>
          <t>Top-Hat clásico</t>
        </is>
      </c>
      <c r="C31" s="18" t="n">
        <v>6.85219</v>
      </c>
      <c r="D31" s="18" t="n">
        <v>0.12038</v>
      </c>
      <c r="E31" s="18" t="n">
        <v>1.25585</v>
      </c>
      <c r="F31" s="19" t="n">
        <v>0.04149</v>
      </c>
      <c r="G31" s="18" t="n">
        <v>0.85583</v>
      </c>
      <c r="H31" s="18" t="n">
        <v>0.9539800000000001</v>
      </c>
      <c r="I31" s="19" t="n">
        <v>22.1486</v>
      </c>
      <c r="J31" s="18" t="n">
        <v>0.63737</v>
      </c>
      <c r="K31" s="18" t="n">
        <v>21.82426</v>
      </c>
    </row>
    <row r="32">
      <c r="A32" s="9" t="inlineStr"/>
      <c r="B32" s="8" t="inlineStr">
        <is>
          <t>PROPUESTA NOVEDOSA (r=25, m=0,30)</t>
        </is>
      </c>
      <c r="C32" s="19" t="n">
        <v>6.94135</v>
      </c>
      <c r="D32" s="19" t="n">
        <v>0.13289</v>
      </c>
      <c r="E32" s="19" t="n">
        <v>1.2722</v>
      </c>
      <c r="F32" s="18" t="n">
        <v>0.03191</v>
      </c>
      <c r="G32" s="18" t="n">
        <v>0.88062</v>
      </c>
      <c r="H32" s="18" t="n">
        <v>1.13016</v>
      </c>
      <c r="I32" s="18" t="n">
        <v>18.32846</v>
      </c>
      <c r="J32" s="18" t="n">
        <v>0.73169</v>
      </c>
      <c r="K32" s="18" t="n">
        <v>21.22568</v>
      </c>
    </row>
    <row r="33">
      <c r="A33" s="8" t="inlineStr">
        <is>
          <t>APC_3_view_2_fk_NL_01_005</t>
        </is>
      </c>
      <c r="B33" s="9" t="inlineStr">
        <is>
          <t>Pirámide de Laplace (LP)</t>
        </is>
      </c>
      <c r="C33" s="19" t="n">
        <v>6.97201</v>
      </c>
      <c r="D33" s="19" t="n">
        <v>0.13962</v>
      </c>
      <c r="E33" s="19" t="n">
        <v>1.16701</v>
      </c>
      <c r="F33" s="18" t="n">
        <v>0.02046</v>
      </c>
      <c r="G33" s="19" t="n">
        <v>1.86818</v>
      </c>
      <c r="H33" s="19" t="n">
        <v>1.13328</v>
      </c>
      <c r="I33" s="18" t="n">
        <v>10.56835</v>
      </c>
      <c r="J33" s="18" t="n">
        <v>0.78215</v>
      </c>
      <c r="K33" s="18" t="n">
        <v>17.54086</v>
      </c>
    </row>
    <row r="34">
      <c r="A34" s="9" t="inlineStr"/>
      <c r="B34" s="9" t="inlineStr">
        <is>
          <t>Ratio of low-pass Pyramid (RP)</t>
        </is>
      </c>
      <c r="C34" s="18" t="n">
        <v>6.85787</v>
      </c>
      <c r="D34" s="18" t="n">
        <v>0.1295</v>
      </c>
      <c r="E34" s="18" t="n">
        <v>1.1479</v>
      </c>
      <c r="F34" s="18" t="n">
        <v>0.02122</v>
      </c>
      <c r="G34" s="18" t="n">
        <v>0.94994</v>
      </c>
      <c r="H34" s="18" t="n">
        <v>1.1245</v>
      </c>
      <c r="I34" s="18" t="n">
        <v>11.02087</v>
      </c>
      <c r="J34" s="18" t="n">
        <v>0.79539</v>
      </c>
      <c r="K34" s="18" t="n">
        <v>20.10916</v>
      </c>
    </row>
    <row r="35">
      <c r="A35" s="9" t="inlineStr"/>
      <c r="B35" s="9" t="inlineStr">
        <is>
          <t>Wavelet discreta (DWT)</t>
        </is>
      </c>
      <c r="C35" s="18" t="n">
        <v>6.7508</v>
      </c>
      <c r="D35" s="18" t="n">
        <v>0.12182</v>
      </c>
      <c r="E35" s="18" t="n">
        <v>1.12998</v>
      </c>
      <c r="F35" s="18" t="n">
        <v>0.02221</v>
      </c>
      <c r="G35" s="18" t="n">
        <v>1.22415</v>
      </c>
      <c r="H35" s="18" t="n">
        <v>1.01733</v>
      </c>
      <c r="I35" s="18" t="n">
        <v>11.46282</v>
      </c>
      <c r="J35" s="18" t="n">
        <v>0.77905</v>
      </c>
      <c r="K35" s="18" t="n">
        <v>20.28329</v>
      </c>
    </row>
    <row r="36">
      <c r="A36" s="9" t="inlineStr"/>
      <c r="B36" s="9" t="inlineStr">
        <is>
          <t>Dual-Tree Complex Wavelet (DTCWT)</t>
        </is>
      </c>
      <c r="C36" s="18" t="n">
        <v>6.74884</v>
      </c>
      <c r="D36" s="18" t="n">
        <v>0.1223</v>
      </c>
      <c r="E36" s="18" t="n">
        <v>1.12965</v>
      </c>
      <c r="F36" s="18" t="n">
        <v>0.02059</v>
      </c>
      <c r="G36" s="18" t="n">
        <v>1.20549</v>
      </c>
      <c r="H36" s="18" t="n">
        <v>1.04213</v>
      </c>
      <c r="I36" s="18" t="n">
        <v>10.68365</v>
      </c>
      <c r="J36" s="19" t="n">
        <v>0.8039500000000001</v>
      </c>
      <c r="K36" s="18" t="n">
        <v>20.29606</v>
      </c>
    </row>
    <row r="37">
      <c r="A37" s="9" t="inlineStr"/>
      <c r="B37" s="9" t="inlineStr">
        <is>
          <t>Wavelet db4 (CVT)</t>
        </is>
      </c>
      <c r="C37" s="18" t="n">
        <v>6.72958</v>
      </c>
      <c r="D37" s="18" t="n">
        <v>0.12082</v>
      </c>
      <c r="E37" s="18" t="n">
        <v>1.12643</v>
      </c>
      <c r="F37" s="18" t="n">
        <v>0.02129</v>
      </c>
      <c r="G37" s="18" t="n">
        <v>1.2704</v>
      </c>
      <c r="H37" s="18" t="n">
        <v>1.02305</v>
      </c>
      <c r="I37" s="18" t="n">
        <v>10.99068</v>
      </c>
      <c r="J37" s="18" t="n">
        <v>0.7936</v>
      </c>
      <c r="K37" s="19" t="n">
        <v>20.32782</v>
      </c>
    </row>
    <row r="38">
      <c r="A38" s="9" t="inlineStr"/>
      <c r="B38" s="9" t="inlineStr">
        <is>
          <t>Top-Hat clásico</t>
        </is>
      </c>
      <c r="C38" s="18" t="n">
        <v>6.94621</v>
      </c>
      <c r="D38" s="18" t="n">
        <v>0.13545</v>
      </c>
      <c r="E38" s="18" t="n">
        <v>1.16269</v>
      </c>
      <c r="F38" s="19" t="n">
        <v>0.03917</v>
      </c>
      <c r="G38" s="18" t="n">
        <v>0.91278</v>
      </c>
      <c r="H38" s="18" t="n">
        <v>0.76545</v>
      </c>
      <c r="I38" s="19" t="n">
        <v>18.48379</v>
      </c>
      <c r="J38" s="18" t="n">
        <v>0.63209</v>
      </c>
      <c r="K38" s="18" t="n">
        <v>19.54804</v>
      </c>
    </row>
    <row r="39">
      <c r="A39" s="9" t="inlineStr"/>
      <c r="B39" s="8" t="inlineStr">
        <is>
          <t>PROPUESTA NOVEDOSA (r=25, m=0,30)</t>
        </is>
      </c>
      <c r="C39" s="18" t="n">
        <v>6.93056</v>
      </c>
      <c r="D39" s="18" t="n">
        <v>0.13882</v>
      </c>
      <c r="E39" s="18" t="n">
        <v>1.16007</v>
      </c>
      <c r="F39" s="18" t="n">
        <v>0.02917</v>
      </c>
      <c r="G39" s="18" t="n">
        <v>0.92591</v>
      </c>
      <c r="H39" s="18" t="n">
        <v>0.88712</v>
      </c>
      <c r="I39" s="18" t="n">
        <v>14.19098</v>
      </c>
      <c r="J39" s="18" t="n">
        <v>0.73046</v>
      </c>
      <c r="K39" s="18" t="n">
        <v>19.49656</v>
      </c>
    </row>
    <row r="40">
      <c r="A40" s="8" t="inlineStr">
        <is>
          <t>APC_3_view_3_fk_NL_05_005</t>
        </is>
      </c>
      <c r="B40" s="9" t="inlineStr">
        <is>
          <t>Pirámide de Laplace (LP)</t>
        </is>
      </c>
      <c r="C40" s="19" t="n">
        <v>7.15201</v>
      </c>
      <c r="D40" s="19" t="n">
        <v>0.16908</v>
      </c>
      <c r="E40" s="19" t="n">
        <v>1.24327</v>
      </c>
      <c r="F40" s="18" t="n">
        <v>0.02146</v>
      </c>
      <c r="G40" s="19" t="n">
        <v>2.14235</v>
      </c>
      <c r="H40" s="18" t="n">
        <v>0.93895</v>
      </c>
      <c r="I40" s="18" t="n">
        <v>9.45031</v>
      </c>
      <c r="J40" s="18" t="n">
        <v>0.74598</v>
      </c>
      <c r="K40" s="18" t="n">
        <v>15.69475</v>
      </c>
    </row>
    <row r="41">
      <c r="A41" s="9" t="inlineStr"/>
      <c r="B41" s="9" t="inlineStr">
        <is>
          <t>Ratio of low-pass Pyramid (RP)</t>
        </is>
      </c>
      <c r="C41" s="18" t="n">
        <v>7.03295</v>
      </c>
      <c r="D41" s="18" t="n">
        <v>0.13421</v>
      </c>
      <c r="E41" s="18" t="n">
        <v>1.22257</v>
      </c>
      <c r="F41" s="18" t="n">
        <v>0.02276</v>
      </c>
      <c r="G41" s="18" t="n">
        <v>1.02548</v>
      </c>
      <c r="H41" s="19" t="n">
        <v>1.03259</v>
      </c>
      <c r="I41" s="18" t="n">
        <v>10.21071</v>
      </c>
      <c r="J41" s="18" t="n">
        <v>0.75911</v>
      </c>
      <c r="K41" s="18" t="n">
        <v>18.36213</v>
      </c>
    </row>
    <row r="42">
      <c r="A42" s="9" t="inlineStr"/>
      <c r="B42" s="9" t="inlineStr">
        <is>
          <t>Wavelet discreta (DWT)</t>
        </is>
      </c>
      <c r="C42" s="18" t="n">
        <v>6.91258</v>
      </c>
      <c r="D42" s="18" t="n">
        <v>0.12629</v>
      </c>
      <c r="E42" s="18" t="n">
        <v>1.20164</v>
      </c>
      <c r="F42" s="18" t="n">
        <v>0.02366</v>
      </c>
      <c r="G42" s="18" t="n">
        <v>1.34597</v>
      </c>
      <c r="H42" s="18" t="n">
        <v>0.90465</v>
      </c>
      <c r="I42" s="18" t="n">
        <v>10.81506</v>
      </c>
      <c r="J42" s="18" t="n">
        <v>0.74317</v>
      </c>
      <c r="K42" s="18" t="n">
        <v>18.5076</v>
      </c>
    </row>
    <row r="43">
      <c r="A43" s="9" t="inlineStr"/>
      <c r="B43" s="9" t="inlineStr">
        <is>
          <t>Dual-Tree Complex Wavelet (DTCWT)</t>
        </is>
      </c>
      <c r="C43" s="18" t="n">
        <v>6.92429</v>
      </c>
      <c r="D43" s="18" t="n">
        <v>0.12643</v>
      </c>
      <c r="E43" s="18" t="n">
        <v>1.20368</v>
      </c>
      <c r="F43" s="18" t="n">
        <v>0.02152</v>
      </c>
      <c r="G43" s="18" t="n">
        <v>1.3121</v>
      </c>
      <c r="H43" s="18" t="n">
        <v>0.97314</v>
      </c>
      <c r="I43" s="18" t="n">
        <v>9.725989999999999</v>
      </c>
      <c r="J43" s="19" t="n">
        <v>0.7708700000000001</v>
      </c>
      <c r="K43" s="18" t="n">
        <v>18.5285</v>
      </c>
    </row>
    <row r="44">
      <c r="A44" s="9" t="inlineStr"/>
      <c r="B44" s="9" t="inlineStr">
        <is>
          <t>Wavelet db4 (CVT)</t>
        </is>
      </c>
      <c r="C44" s="18" t="n">
        <v>6.89118</v>
      </c>
      <c r="D44" s="18" t="n">
        <v>0.12503</v>
      </c>
      <c r="E44" s="18" t="n">
        <v>1.19792</v>
      </c>
      <c r="F44" s="18" t="n">
        <v>0.0227</v>
      </c>
      <c r="G44" s="18" t="n">
        <v>1.40122</v>
      </c>
      <c r="H44" s="18" t="n">
        <v>0.91369</v>
      </c>
      <c r="I44" s="18" t="n">
        <v>10.20499</v>
      </c>
      <c r="J44" s="18" t="n">
        <v>0.75769</v>
      </c>
      <c r="K44" s="19" t="n">
        <v>18.54075</v>
      </c>
    </row>
    <row r="45">
      <c r="A45" s="9" t="inlineStr"/>
      <c r="B45" s="9" t="inlineStr">
        <is>
          <t>Top-Hat clásico</t>
        </is>
      </c>
      <c r="C45" s="18" t="n">
        <v>7.06944</v>
      </c>
      <c r="D45" s="18" t="n">
        <v>0.14056</v>
      </c>
      <c r="E45" s="18" t="n">
        <v>1.22891</v>
      </c>
      <c r="F45" s="19" t="n">
        <v>0.03996</v>
      </c>
      <c r="G45" s="18" t="n">
        <v>0.92539</v>
      </c>
      <c r="H45" s="18" t="n">
        <v>0.66939</v>
      </c>
      <c r="I45" s="19" t="n">
        <v>17.16422</v>
      </c>
      <c r="J45" s="18" t="n">
        <v>0.6188900000000001</v>
      </c>
      <c r="K45" s="18" t="n">
        <v>17.97383</v>
      </c>
    </row>
    <row r="46">
      <c r="A46" s="9" t="inlineStr"/>
      <c r="B46" s="8" t="inlineStr">
        <is>
          <t>PROPUESTA NOVEDOSA (r=25, m=0,30)</t>
        </is>
      </c>
      <c r="C46" s="18" t="n">
        <v>7.08189</v>
      </c>
      <c r="D46" s="18" t="n">
        <v>0.14442</v>
      </c>
      <c r="E46" s="18" t="n">
        <v>1.23108</v>
      </c>
      <c r="F46" s="18" t="n">
        <v>0.03029</v>
      </c>
      <c r="G46" s="18" t="n">
        <v>0.97851</v>
      </c>
      <c r="H46" s="18" t="n">
        <v>0.7826</v>
      </c>
      <c r="I46" s="18" t="n">
        <v>12.80877</v>
      </c>
      <c r="J46" s="18" t="n">
        <v>0.70773</v>
      </c>
      <c r="K46" s="18" t="n">
        <v>17.98693</v>
      </c>
    </row>
    <row r="47">
      <c r="A47" s="8" t="inlineStr">
        <is>
          <t>Athena_2_men_in_front_of_house_meting003</t>
        </is>
      </c>
      <c r="B47" s="9" t="inlineStr">
        <is>
          <t>Pirámide de Laplace (LP)</t>
        </is>
      </c>
      <c r="C47" s="18" t="n">
        <v>6.89303</v>
      </c>
      <c r="D47" s="19" t="n">
        <v>0.18155</v>
      </c>
      <c r="E47" s="18" t="n">
        <v>0.99552</v>
      </c>
      <c r="F47" s="18" t="n">
        <v>0.02527</v>
      </c>
      <c r="G47" s="19" t="n">
        <v>1.56809</v>
      </c>
      <c r="H47" s="19" t="n">
        <v>1.12427</v>
      </c>
      <c r="I47" s="18" t="n">
        <v>12.51811</v>
      </c>
      <c r="J47" s="18" t="n">
        <v>0.69325</v>
      </c>
      <c r="K47" s="18" t="n">
        <v>13.04707</v>
      </c>
    </row>
    <row r="48">
      <c r="A48" s="9" t="inlineStr"/>
      <c r="B48" s="9" t="inlineStr">
        <is>
          <t>Ratio of low-pass Pyramid (RP)</t>
        </is>
      </c>
      <c r="C48" s="18" t="n">
        <v>6.74675</v>
      </c>
      <c r="D48" s="18" t="n">
        <v>0.11726</v>
      </c>
      <c r="E48" s="18" t="n">
        <v>0.97439</v>
      </c>
      <c r="F48" s="18" t="n">
        <v>0.0281</v>
      </c>
      <c r="G48" s="18" t="n">
        <v>0.65319</v>
      </c>
      <c r="H48" s="18" t="n">
        <v>0.34643</v>
      </c>
      <c r="I48" s="18" t="n">
        <v>12.88288</v>
      </c>
      <c r="J48" s="18" t="n">
        <v>0.68789</v>
      </c>
      <c r="K48" s="18" t="n">
        <v>15.44294</v>
      </c>
    </row>
    <row r="49">
      <c r="A49" s="9" t="inlineStr"/>
      <c r="B49" s="9" t="inlineStr">
        <is>
          <t>Wavelet discreta (DWT)</t>
        </is>
      </c>
      <c r="C49" s="18" t="n">
        <v>6.66613</v>
      </c>
      <c r="D49" s="18" t="n">
        <v>0.10716</v>
      </c>
      <c r="E49" s="18" t="n">
        <v>0.96275</v>
      </c>
      <c r="F49" s="18" t="n">
        <v>0.02835</v>
      </c>
      <c r="G49" s="18" t="n">
        <v>0.75053</v>
      </c>
      <c r="H49" s="18" t="n">
        <v>0.55609</v>
      </c>
      <c r="I49" s="18" t="n">
        <v>13.67014</v>
      </c>
      <c r="J49" s="18" t="n">
        <v>0.67872</v>
      </c>
      <c r="K49" s="18" t="n">
        <v>15.67766</v>
      </c>
    </row>
    <row r="50">
      <c r="A50" s="9" t="inlineStr"/>
      <c r="B50" s="9" t="inlineStr">
        <is>
          <t>Dual-Tree Complex Wavelet (DTCWT)</t>
        </is>
      </c>
      <c r="C50" s="18" t="n">
        <v>6.67564</v>
      </c>
      <c r="D50" s="18" t="n">
        <v>0.10806</v>
      </c>
      <c r="E50" s="18" t="n">
        <v>0.96412</v>
      </c>
      <c r="F50" s="18" t="n">
        <v>0.02562</v>
      </c>
      <c r="G50" s="18" t="n">
        <v>0.77034</v>
      </c>
      <c r="H50" s="18" t="n">
        <v>0.54961</v>
      </c>
      <c r="I50" s="18" t="n">
        <v>12.35633</v>
      </c>
      <c r="J50" s="19" t="n">
        <v>0.7097</v>
      </c>
      <c r="K50" s="18" t="n">
        <v>15.68368</v>
      </c>
    </row>
    <row r="51">
      <c r="A51" s="9" t="inlineStr"/>
      <c r="B51" s="9" t="inlineStr">
        <is>
          <t>Wavelet db4 (CVT)</t>
        </is>
      </c>
      <c r="C51" s="18" t="n">
        <v>6.59901</v>
      </c>
      <c r="D51" s="18" t="n">
        <v>0.10119</v>
      </c>
      <c r="E51" s="18" t="n">
        <v>0.95305</v>
      </c>
      <c r="F51" s="18" t="n">
        <v>0.02602</v>
      </c>
      <c r="G51" s="18" t="n">
        <v>0.76396</v>
      </c>
      <c r="H51" s="18" t="n">
        <v>0.57363</v>
      </c>
      <c r="I51" s="18" t="n">
        <v>12.24783</v>
      </c>
      <c r="J51" s="18" t="n">
        <v>0.6979</v>
      </c>
      <c r="K51" s="19" t="n">
        <v>15.75355</v>
      </c>
    </row>
    <row r="52">
      <c r="A52" s="9" t="inlineStr"/>
      <c r="B52" s="9" t="inlineStr">
        <is>
          <t>Top-Hat clásico</t>
        </is>
      </c>
      <c r="C52" s="18" t="n">
        <v>6.92687</v>
      </c>
      <c r="D52" s="18" t="n">
        <v>0.13152</v>
      </c>
      <c r="E52" s="18" t="n">
        <v>1.0004</v>
      </c>
      <c r="F52" s="19" t="n">
        <v>0.04465</v>
      </c>
      <c r="G52" s="18" t="n">
        <v>0.6212800000000001</v>
      </c>
      <c r="H52" s="18" t="n">
        <v>0.41181</v>
      </c>
      <c r="I52" s="19" t="n">
        <v>20.54914</v>
      </c>
      <c r="J52" s="18" t="n">
        <v>0.58124</v>
      </c>
      <c r="K52" s="18" t="n">
        <v>15.1583</v>
      </c>
    </row>
    <row r="53">
      <c r="A53" s="9" t="inlineStr"/>
      <c r="B53" s="8" t="inlineStr">
        <is>
          <t>PROPUESTA NOVEDOSA (r=25, m=0,30)</t>
        </is>
      </c>
      <c r="C53" s="19" t="n">
        <v>7.06718</v>
      </c>
      <c r="D53" s="18" t="n">
        <v>0.14373</v>
      </c>
      <c r="E53" s="19" t="n">
        <v>1.02067</v>
      </c>
      <c r="F53" s="18" t="n">
        <v>0.03381</v>
      </c>
      <c r="G53" s="18" t="n">
        <v>0.68004</v>
      </c>
      <c r="H53" s="18" t="n">
        <v>0.4892</v>
      </c>
      <c r="I53" s="18" t="n">
        <v>15.65434</v>
      </c>
      <c r="J53" s="18" t="n">
        <v>0.66638</v>
      </c>
      <c r="K53" s="18" t="n">
        <v>15.16937</v>
      </c>
    </row>
    <row r="54">
      <c r="A54" s="8" t="inlineStr">
        <is>
          <t>Athena_APC_4_fennek01_005</t>
        </is>
      </c>
      <c r="B54" s="9" t="inlineStr">
        <is>
          <t>Pirámide de Laplace (LP)</t>
        </is>
      </c>
      <c r="C54" s="18" t="n">
        <v>6.17799</v>
      </c>
      <c r="D54" s="18" t="n">
        <v>0.07003</v>
      </c>
      <c r="E54" s="18" t="n">
        <v>0.98434</v>
      </c>
      <c r="F54" s="18" t="n">
        <v>0.02264</v>
      </c>
      <c r="G54" s="19" t="n">
        <v>1.40143</v>
      </c>
      <c r="H54" s="19" t="n">
        <v>0.28457</v>
      </c>
      <c r="I54" s="18" t="n">
        <v>9.772360000000001</v>
      </c>
      <c r="J54" s="18" t="n">
        <v>0.73407</v>
      </c>
      <c r="K54" s="18" t="n">
        <v>20.16412</v>
      </c>
    </row>
    <row r="55">
      <c r="A55" s="9" t="inlineStr"/>
      <c r="B55" s="9" t="inlineStr">
        <is>
          <t>Ratio of low-pass Pyramid (RP)</t>
        </is>
      </c>
      <c r="C55" s="18" t="n">
        <v>5.97004</v>
      </c>
      <c r="D55" s="18" t="n">
        <v>0.06146</v>
      </c>
      <c r="E55" s="18" t="n">
        <v>0.95121</v>
      </c>
      <c r="F55" s="18" t="n">
        <v>0.02332</v>
      </c>
      <c r="G55" s="18" t="n">
        <v>0.34478</v>
      </c>
      <c r="H55" s="18" t="n">
        <v>0.18526</v>
      </c>
      <c r="I55" s="18" t="n">
        <v>9.88344</v>
      </c>
      <c r="J55" s="18" t="n">
        <v>0.74917</v>
      </c>
      <c r="K55" s="18" t="n">
        <v>22.46399</v>
      </c>
    </row>
    <row r="56">
      <c r="A56" s="9" t="inlineStr"/>
      <c r="B56" s="9" t="inlineStr">
        <is>
          <t>Wavelet discreta (DWT)</t>
        </is>
      </c>
      <c r="C56" s="18" t="n">
        <v>5.78884</v>
      </c>
      <c r="D56" s="18" t="n">
        <v>0.05382</v>
      </c>
      <c r="E56" s="18" t="n">
        <v>0.92234</v>
      </c>
      <c r="F56" s="18" t="n">
        <v>0.02513</v>
      </c>
      <c r="G56" s="18" t="n">
        <v>0.3631</v>
      </c>
      <c r="H56" s="18" t="n">
        <v>0.14044</v>
      </c>
      <c r="I56" s="18" t="n">
        <v>10.97125</v>
      </c>
      <c r="J56" s="18" t="n">
        <v>0.72071</v>
      </c>
      <c r="K56" s="18" t="n">
        <v>22.63467</v>
      </c>
    </row>
    <row r="57">
      <c r="A57" s="9" t="inlineStr"/>
      <c r="B57" s="9" t="inlineStr">
        <is>
          <t>Dual-Tree Complex Wavelet (DTCWT)</t>
        </is>
      </c>
      <c r="C57" s="18" t="n">
        <v>5.78812</v>
      </c>
      <c r="D57" s="18" t="n">
        <v>0.05402</v>
      </c>
      <c r="E57" s="18" t="n">
        <v>0.92222</v>
      </c>
      <c r="F57" s="18" t="n">
        <v>0.02249</v>
      </c>
      <c r="G57" s="18" t="n">
        <v>0.41118</v>
      </c>
      <c r="H57" s="18" t="n">
        <v>0.14137</v>
      </c>
      <c r="I57" s="18" t="n">
        <v>9.69835</v>
      </c>
      <c r="J57" s="19" t="n">
        <v>0.75635</v>
      </c>
      <c r="K57" s="18" t="n">
        <v>22.70385</v>
      </c>
    </row>
    <row r="58">
      <c r="A58" s="9" t="inlineStr"/>
      <c r="B58" s="9" t="inlineStr">
        <is>
          <t>Wavelet db4 (CVT)</t>
        </is>
      </c>
      <c r="C58" s="18" t="n">
        <v>5.70675</v>
      </c>
      <c r="D58" s="18" t="n">
        <v>0.05072</v>
      </c>
      <c r="E58" s="18" t="n">
        <v>0.90926</v>
      </c>
      <c r="F58" s="18" t="n">
        <v>0.02362</v>
      </c>
      <c r="G58" s="18" t="n">
        <v>0.36831</v>
      </c>
      <c r="H58" s="18" t="n">
        <v>0.14442</v>
      </c>
      <c r="I58" s="18" t="n">
        <v>10.11212</v>
      </c>
      <c r="J58" s="18" t="n">
        <v>0.7400099999999999</v>
      </c>
      <c r="K58" s="19" t="n">
        <v>22.74749</v>
      </c>
    </row>
    <row r="59">
      <c r="A59" s="9" t="inlineStr"/>
      <c r="B59" s="9" t="inlineStr">
        <is>
          <t>Top-Hat clásico</t>
        </is>
      </c>
      <c r="C59" s="18" t="n">
        <v>6.33741</v>
      </c>
      <c r="D59" s="19" t="n">
        <v>0.0803</v>
      </c>
      <c r="E59" s="18" t="n">
        <v>1.00974</v>
      </c>
      <c r="F59" s="19" t="n">
        <v>0.04199</v>
      </c>
      <c r="G59" s="18" t="n">
        <v>0.33887</v>
      </c>
      <c r="H59" s="18" t="n">
        <v>0.13634</v>
      </c>
      <c r="I59" s="19" t="n">
        <v>18.66549</v>
      </c>
      <c r="J59" s="18" t="n">
        <v>0.6067399999999999</v>
      </c>
      <c r="K59" s="18" t="n">
        <v>21.33732</v>
      </c>
    </row>
    <row r="60">
      <c r="A60" s="9" t="inlineStr"/>
      <c r="B60" s="8" t="inlineStr">
        <is>
          <t>PROPUESTA NOVEDOSA (r=25, m=0,30)</t>
        </is>
      </c>
      <c r="C60" s="19" t="n">
        <v>6.35595</v>
      </c>
      <c r="D60" s="18" t="n">
        <v>0.07994</v>
      </c>
      <c r="E60" s="19" t="n">
        <v>1.01269</v>
      </c>
      <c r="F60" s="18" t="n">
        <v>0.03142</v>
      </c>
      <c r="G60" s="18" t="n">
        <v>0.42351</v>
      </c>
      <c r="H60" s="18" t="n">
        <v>0.14196</v>
      </c>
      <c r="I60" s="18" t="n">
        <v>13.34313</v>
      </c>
      <c r="J60" s="18" t="n">
        <v>0.6945</v>
      </c>
      <c r="K60" s="18" t="n">
        <v>21.65353</v>
      </c>
    </row>
    <row r="61">
      <c r="A61" s="8" t="inlineStr">
        <is>
          <t>Athena_heather_hei_vis</t>
        </is>
      </c>
      <c r="B61" s="9" t="inlineStr">
        <is>
          <t>Pirámide de Laplace (LP)</t>
        </is>
      </c>
      <c r="C61" s="18" t="n">
        <v>6.78031</v>
      </c>
      <c r="D61" s="18" t="n">
        <v>0.11115</v>
      </c>
      <c r="E61" s="18" t="n">
        <v>0.94497</v>
      </c>
      <c r="F61" s="18" t="n">
        <v>0.02633</v>
      </c>
      <c r="G61" s="18" t="n">
        <v>0.50548</v>
      </c>
      <c r="H61" s="19" t="n">
        <v>0.99355</v>
      </c>
      <c r="I61" s="18" t="n">
        <v>12.80947</v>
      </c>
      <c r="J61" s="18" t="n">
        <v>0.64496</v>
      </c>
      <c r="K61" s="18" t="n">
        <v>13.39049</v>
      </c>
    </row>
    <row r="62">
      <c r="A62" s="9" t="inlineStr"/>
      <c r="B62" s="9" t="inlineStr">
        <is>
          <t>Ratio of low-pass Pyramid (RP)</t>
        </is>
      </c>
      <c r="C62" s="19" t="n">
        <v>7.17891</v>
      </c>
      <c r="D62" s="19" t="n">
        <v>0.15399</v>
      </c>
      <c r="E62" s="19" t="n">
        <v>1.00052</v>
      </c>
      <c r="F62" s="18" t="n">
        <v>0.03399</v>
      </c>
      <c r="G62" s="19" t="n">
        <v>0.91232</v>
      </c>
      <c r="H62" s="18" t="n">
        <v>0.66654</v>
      </c>
      <c r="I62" s="18" t="n">
        <v>15.74497</v>
      </c>
      <c r="J62" s="18" t="n">
        <v>0.61528</v>
      </c>
      <c r="K62" s="18" t="n">
        <v>15.20664</v>
      </c>
    </row>
    <row r="63">
      <c r="A63" s="9" t="inlineStr"/>
      <c r="B63" s="9" t="inlineStr">
        <is>
          <t>Wavelet discreta (DWT)</t>
        </is>
      </c>
      <c r="C63" s="18" t="n">
        <v>6.8429</v>
      </c>
      <c r="D63" s="18" t="n">
        <v>0.116</v>
      </c>
      <c r="E63" s="18" t="n">
        <v>0.95369</v>
      </c>
      <c r="F63" s="18" t="n">
        <v>0.02954</v>
      </c>
      <c r="G63" s="18" t="n">
        <v>0.81913</v>
      </c>
      <c r="H63" s="18" t="n">
        <v>0.62241</v>
      </c>
      <c r="I63" s="18" t="n">
        <v>14.25477</v>
      </c>
      <c r="J63" s="18" t="n">
        <v>0.63997</v>
      </c>
      <c r="K63" s="18" t="n">
        <v>15.94798</v>
      </c>
    </row>
    <row r="64">
      <c r="A64" s="9" t="inlineStr"/>
      <c r="B64" s="9" t="inlineStr">
        <is>
          <t>Dual-Tree Complex Wavelet (DTCWT)</t>
        </is>
      </c>
      <c r="C64" s="18" t="n">
        <v>6.85389</v>
      </c>
      <c r="D64" s="18" t="n">
        <v>0.11716</v>
      </c>
      <c r="E64" s="18" t="n">
        <v>0.95522</v>
      </c>
      <c r="F64" s="18" t="n">
        <v>0.02695</v>
      </c>
      <c r="G64" s="18" t="n">
        <v>0.84463</v>
      </c>
      <c r="H64" s="18" t="n">
        <v>0.63883</v>
      </c>
      <c r="I64" s="18" t="n">
        <v>12.96626</v>
      </c>
      <c r="J64" s="19" t="n">
        <v>0.67106</v>
      </c>
      <c r="K64" s="18" t="n">
        <v>15.94995</v>
      </c>
    </row>
    <row r="65">
      <c r="A65" s="9" t="inlineStr"/>
      <c r="B65" s="9" t="inlineStr">
        <is>
          <t>Wavelet db4 (CVT)</t>
        </is>
      </c>
      <c r="C65" s="18" t="n">
        <v>6.77987</v>
      </c>
      <c r="D65" s="18" t="n">
        <v>0.11074</v>
      </c>
      <c r="E65" s="18" t="n">
        <v>0.94491</v>
      </c>
      <c r="F65" s="18" t="n">
        <v>0.0268</v>
      </c>
      <c r="G65" s="18" t="n">
        <v>0.80447</v>
      </c>
      <c r="H65" s="18" t="n">
        <v>0.63798</v>
      </c>
      <c r="I65" s="18" t="n">
        <v>12.84176</v>
      </c>
      <c r="J65" s="18" t="n">
        <v>0.66816</v>
      </c>
      <c r="K65" s="19" t="n">
        <v>16.0358</v>
      </c>
    </row>
    <row r="66">
      <c r="A66" s="9" t="inlineStr"/>
      <c r="B66" s="9" t="inlineStr">
        <is>
          <t>Top-Hat clásico</t>
        </is>
      </c>
      <c r="C66" s="18" t="n">
        <v>7.015</v>
      </c>
      <c r="D66" s="18" t="n">
        <v>0.1312</v>
      </c>
      <c r="E66" s="18" t="n">
        <v>0.97768</v>
      </c>
      <c r="F66" s="19" t="n">
        <v>0.04972</v>
      </c>
      <c r="G66" s="18" t="n">
        <v>0.57984</v>
      </c>
      <c r="H66" s="18" t="n">
        <v>0.47524</v>
      </c>
      <c r="I66" s="19" t="n">
        <v>22.87326</v>
      </c>
      <c r="J66" s="18" t="n">
        <v>0.51791</v>
      </c>
      <c r="K66" s="18" t="n">
        <v>15.57986</v>
      </c>
    </row>
    <row r="67">
      <c r="A67" s="9" t="inlineStr"/>
      <c r="B67" s="8" t="inlineStr">
        <is>
          <t>PROPUESTA NOVEDOSA (r=25, m=0,30)</t>
        </is>
      </c>
      <c r="C67" s="18" t="n">
        <v>7.13527</v>
      </c>
      <c r="D67" s="18" t="n">
        <v>0.14402</v>
      </c>
      <c r="E67" s="18" t="n">
        <v>0.99444</v>
      </c>
      <c r="F67" s="18" t="n">
        <v>0.03623</v>
      </c>
      <c r="G67" s="18" t="n">
        <v>0.71353</v>
      </c>
      <c r="H67" s="18" t="n">
        <v>0.54401</v>
      </c>
      <c r="I67" s="18" t="n">
        <v>16.45011</v>
      </c>
      <c r="J67" s="18" t="n">
        <v>0.61482</v>
      </c>
      <c r="K67" s="18" t="n">
        <v>15.48112</v>
      </c>
    </row>
    <row r="68">
      <c r="A68" s="8" t="inlineStr">
        <is>
          <t>Athena_helicopter_helib_011</t>
        </is>
      </c>
      <c r="B68" s="9" t="inlineStr">
        <is>
          <t>Pirámide de Laplace (LP)</t>
        </is>
      </c>
      <c r="C68" s="18" t="n">
        <v>5.21331</v>
      </c>
      <c r="D68" s="18" t="n">
        <v>0.05503</v>
      </c>
      <c r="E68" s="18" t="n">
        <v>1.12728</v>
      </c>
      <c r="F68" s="18" t="n">
        <v>0.01307</v>
      </c>
      <c r="G68" s="19" t="n">
        <v>2.45287</v>
      </c>
      <c r="H68" s="18" t="n">
        <v>0.38862</v>
      </c>
      <c r="I68" s="18" t="n">
        <v>5.77158</v>
      </c>
      <c r="J68" s="18" t="n">
        <v>0.78762</v>
      </c>
      <c r="K68" s="18" t="n">
        <v>15.60525</v>
      </c>
    </row>
    <row r="69">
      <c r="A69" s="9" t="inlineStr"/>
      <c r="B69" s="9" t="inlineStr">
        <is>
          <t>Ratio of low-pass Pyramid (RP)</t>
        </is>
      </c>
      <c r="C69" s="18" t="n">
        <v>5.39822</v>
      </c>
      <c r="D69" s="18" t="n">
        <v>0.05152</v>
      </c>
      <c r="E69" s="18" t="n">
        <v>1.16727</v>
      </c>
      <c r="F69" s="18" t="n">
        <v>0.01303</v>
      </c>
      <c r="G69" s="18" t="n">
        <v>0.79199</v>
      </c>
      <c r="H69" s="19" t="n">
        <v>0.53452</v>
      </c>
      <c r="I69" s="18" t="n">
        <v>6.03553</v>
      </c>
      <c r="J69" s="19" t="n">
        <v>0.82202</v>
      </c>
      <c r="K69" s="18" t="n">
        <v>18.36653</v>
      </c>
    </row>
    <row r="70">
      <c r="A70" s="9" t="inlineStr"/>
      <c r="B70" s="9" t="inlineStr">
        <is>
          <t>Wavelet discreta (DWT)</t>
        </is>
      </c>
      <c r="C70" s="18" t="n">
        <v>5.21282</v>
      </c>
      <c r="D70" s="18" t="n">
        <v>0.0454</v>
      </c>
      <c r="E70" s="18" t="n">
        <v>1.12718</v>
      </c>
      <c r="F70" s="18" t="n">
        <v>0.01435</v>
      </c>
      <c r="G70" s="18" t="n">
        <v>0.97925</v>
      </c>
      <c r="H70" s="18" t="n">
        <v>0.51432</v>
      </c>
      <c r="I70" s="18" t="n">
        <v>6.87237</v>
      </c>
      <c r="J70" s="18" t="n">
        <v>0.8085599999999999</v>
      </c>
      <c r="K70" s="18" t="n">
        <v>18.45971</v>
      </c>
    </row>
    <row r="71">
      <c r="A71" s="9" t="inlineStr"/>
      <c r="B71" s="9" t="inlineStr">
        <is>
          <t>Dual-Tree Complex Wavelet (DTCWT)</t>
        </is>
      </c>
      <c r="C71" s="18" t="n">
        <v>5.22957</v>
      </c>
      <c r="D71" s="18" t="n">
        <v>0.04578</v>
      </c>
      <c r="E71" s="18" t="n">
        <v>1.1308</v>
      </c>
      <c r="F71" s="18" t="n">
        <v>0.01292</v>
      </c>
      <c r="G71" s="18" t="n">
        <v>0.99954</v>
      </c>
      <c r="H71" s="18" t="n">
        <v>0.51293</v>
      </c>
      <c r="I71" s="18" t="n">
        <v>5.69648</v>
      </c>
      <c r="J71" s="18" t="n">
        <v>0.82092</v>
      </c>
      <c r="K71" s="18" t="n">
        <v>18.46457</v>
      </c>
    </row>
    <row r="72">
      <c r="A72" s="9" t="inlineStr"/>
      <c r="B72" s="9" t="inlineStr">
        <is>
          <t>Wavelet db4 (CVT)</t>
        </is>
      </c>
      <c r="C72" s="18" t="n">
        <v>5.14043</v>
      </c>
      <c r="D72" s="18" t="n">
        <v>0.04245</v>
      </c>
      <c r="E72" s="18" t="n">
        <v>1.11152</v>
      </c>
      <c r="F72" s="18" t="n">
        <v>0.01352</v>
      </c>
      <c r="G72" s="18" t="n">
        <v>0.94282</v>
      </c>
      <c r="H72" s="18" t="n">
        <v>0.5016</v>
      </c>
      <c r="I72" s="18" t="n">
        <v>5.90699</v>
      </c>
      <c r="J72" s="18" t="n">
        <v>0.81453</v>
      </c>
      <c r="K72" s="19" t="n">
        <v>18.49703</v>
      </c>
    </row>
    <row r="73">
      <c r="A73" s="9" t="inlineStr"/>
      <c r="B73" s="9" t="inlineStr">
        <is>
          <t>Top-Hat clásico</t>
        </is>
      </c>
      <c r="C73" s="19" t="n">
        <v>5.54167</v>
      </c>
      <c r="D73" s="18" t="n">
        <v>0.05228</v>
      </c>
      <c r="E73" s="19" t="n">
        <v>1.19828</v>
      </c>
      <c r="F73" s="19" t="n">
        <v>0.02408</v>
      </c>
      <c r="G73" s="18" t="n">
        <v>0.6873899999999999</v>
      </c>
      <c r="H73" s="18" t="n">
        <v>0.33718</v>
      </c>
      <c r="I73" s="19" t="n">
        <v>10.44723</v>
      </c>
      <c r="J73" s="18" t="n">
        <v>0.6865599999999999</v>
      </c>
      <c r="K73" s="18" t="n">
        <v>18.32726</v>
      </c>
    </row>
    <row r="74">
      <c r="A74" s="9" t="inlineStr"/>
      <c r="B74" s="8" t="inlineStr">
        <is>
          <t>PROPUESTA NOVEDOSA (r=25, m=0,30)</t>
        </is>
      </c>
      <c r="C74" s="18" t="n">
        <v>5.51013</v>
      </c>
      <c r="D74" s="19" t="n">
        <v>0.05816</v>
      </c>
      <c r="E74" s="18" t="n">
        <v>1.19146</v>
      </c>
      <c r="F74" s="18" t="n">
        <v>0.01838</v>
      </c>
      <c r="G74" s="18" t="n">
        <v>0.91818</v>
      </c>
      <c r="H74" s="18" t="n">
        <v>0.41383</v>
      </c>
      <c r="I74" s="18" t="n">
        <v>7.91304</v>
      </c>
      <c r="J74" s="18" t="n">
        <v>0.76457</v>
      </c>
      <c r="K74" s="18" t="n">
        <v>18.3341</v>
      </c>
    </row>
    <row r="75">
      <c r="A75" s="8" t="inlineStr">
        <is>
          <t>Athena_lake_lake</t>
        </is>
      </c>
      <c r="B75" s="9" t="inlineStr">
        <is>
          <t>Pirámide de Laplace (LP)</t>
        </is>
      </c>
      <c r="C75" s="19" t="n">
        <v>7.09199</v>
      </c>
      <c r="D75" s="19" t="n">
        <v>0.16713</v>
      </c>
      <c r="E75" s="19" t="n">
        <v>1.02629</v>
      </c>
      <c r="F75" s="18" t="n">
        <v>0.02296</v>
      </c>
      <c r="G75" s="19" t="n">
        <v>2.30568</v>
      </c>
      <c r="H75" s="19" t="n">
        <v>0.60784</v>
      </c>
      <c r="I75" s="18" t="n">
        <v>12.01755</v>
      </c>
      <c r="J75" s="18" t="n">
        <v>0.7029</v>
      </c>
      <c r="K75" s="18" t="n">
        <v>14.22738</v>
      </c>
    </row>
    <row r="76">
      <c r="A76" s="9" t="inlineStr"/>
      <c r="B76" s="9" t="inlineStr">
        <is>
          <t>Ratio of low-pass Pyramid (RP)</t>
        </is>
      </c>
      <c r="C76" s="18" t="n">
        <v>6.88445</v>
      </c>
      <c r="D76" s="18" t="n">
        <v>0.1245</v>
      </c>
      <c r="E76" s="18" t="n">
        <v>0.99626</v>
      </c>
      <c r="F76" s="18" t="n">
        <v>0.02446</v>
      </c>
      <c r="G76" s="18" t="n">
        <v>1.03794</v>
      </c>
      <c r="H76" s="18" t="n">
        <v>0.35981</v>
      </c>
      <c r="I76" s="18" t="n">
        <v>11.95323</v>
      </c>
      <c r="J76" s="18" t="n">
        <v>0.71279</v>
      </c>
      <c r="K76" s="18" t="n">
        <v>16.23441</v>
      </c>
    </row>
    <row r="77">
      <c r="A77" s="9" t="inlineStr"/>
      <c r="B77" s="9" t="inlineStr">
        <is>
          <t>Wavelet discreta (DWT)</t>
        </is>
      </c>
      <c r="C77" s="18" t="n">
        <v>6.67377</v>
      </c>
      <c r="D77" s="18" t="n">
        <v>0.10688</v>
      </c>
      <c r="E77" s="18" t="n">
        <v>0.96577</v>
      </c>
      <c r="F77" s="18" t="n">
        <v>0.02522</v>
      </c>
      <c r="G77" s="18" t="n">
        <v>1.08825</v>
      </c>
      <c r="H77" s="18" t="n">
        <v>0.34614</v>
      </c>
      <c r="I77" s="18" t="n">
        <v>12.9084</v>
      </c>
      <c r="J77" s="18" t="n">
        <v>0.69107</v>
      </c>
      <c r="K77" s="18" t="n">
        <v>16.80251</v>
      </c>
    </row>
    <row r="78">
      <c r="A78" s="9" t="inlineStr"/>
      <c r="B78" s="9" t="inlineStr">
        <is>
          <t>Dual-Tree Complex Wavelet (DTCWT)</t>
        </is>
      </c>
      <c r="C78" s="18" t="n">
        <v>6.66897</v>
      </c>
      <c r="D78" s="18" t="n">
        <v>0.10687</v>
      </c>
      <c r="E78" s="18" t="n">
        <v>0.96508</v>
      </c>
      <c r="F78" s="18" t="n">
        <v>0.02287</v>
      </c>
      <c r="G78" s="18" t="n">
        <v>1.11329</v>
      </c>
      <c r="H78" s="18" t="n">
        <v>0.34224</v>
      </c>
      <c r="I78" s="18" t="n">
        <v>11.78781</v>
      </c>
      <c r="J78" s="19" t="n">
        <v>0.71983</v>
      </c>
      <c r="K78" s="18" t="n">
        <v>16.82319</v>
      </c>
    </row>
    <row r="79">
      <c r="A79" s="9" t="inlineStr"/>
      <c r="B79" s="9" t="inlineStr">
        <is>
          <t>Wavelet db4 (CVT)</t>
        </is>
      </c>
      <c r="C79" s="18" t="n">
        <v>6.64541</v>
      </c>
      <c r="D79" s="18" t="n">
        <v>0.10203</v>
      </c>
      <c r="E79" s="18" t="n">
        <v>0.96167</v>
      </c>
      <c r="F79" s="18" t="n">
        <v>0.02298</v>
      </c>
      <c r="G79" s="18" t="n">
        <v>1.12112</v>
      </c>
      <c r="H79" s="18" t="n">
        <v>0.36336</v>
      </c>
      <c r="I79" s="18" t="n">
        <v>11.84776</v>
      </c>
      <c r="J79" s="18" t="n">
        <v>0.71457</v>
      </c>
      <c r="K79" s="19" t="n">
        <v>16.88078</v>
      </c>
    </row>
    <row r="80">
      <c r="A80" s="9" t="inlineStr"/>
      <c r="B80" s="9" t="inlineStr">
        <is>
          <t>Top-Hat clásico</t>
        </is>
      </c>
      <c r="C80" s="18" t="n">
        <v>6.82374</v>
      </c>
      <c r="D80" s="18" t="n">
        <v>0.12212</v>
      </c>
      <c r="E80" s="18" t="n">
        <v>0.98747</v>
      </c>
      <c r="F80" s="19" t="n">
        <v>0.04018</v>
      </c>
      <c r="G80" s="18" t="n">
        <v>0.74622</v>
      </c>
      <c r="H80" s="18" t="n">
        <v>0.29099</v>
      </c>
      <c r="I80" s="19" t="n">
        <v>18.88932</v>
      </c>
      <c r="J80" s="18" t="n">
        <v>0.5773200000000001</v>
      </c>
      <c r="K80" s="18" t="n">
        <v>16.41734</v>
      </c>
    </row>
    <row r="81">
      <c r="A81" s="9" t="inlineStr"/>
      <c r="B81" s="8" t="inlineStr">
        <is>
          <t>PROPUESTA NOVEDOSA (r=25, m=0,30)</t>
        </is>
      </c>
      <c r="C81" s="18" t="n">
        <v>6.92892</v>
      </c>
      <c r="D81" s="18" t="n">
        <v>0.12943</v>
      </c>
      <c r="E81" s="18" t="n">
        <v>1.00269</v>
      </c>
      <c r="F81" s="18" t="n">
        <v>0.03131</v>
      </c>
      <c r="G81" s="18" t="n">
        <v>0.78332</v>
      </c>
      <c r="H81" s="18" t="n">
        <v>0.27967</v>
      </c>
      <c r="I81" s="18" t="n">
        <v>14.59501</v>
      </c>
      <c r="J81" s="18" t="n">
        <v>0.65321</v>
      </c>
      <c r="K81" s="18" t="n">
        <v>16.3503</v>
      </c>
    </row>
    <row r="82">
      <c r="A82" s="8" t="inlineStr">
        <is>
          <t>Athena_man_in_doorway_maninhuis</t>
        </is>
      </c>
      <c r="B82" s="9" t="inlineStr">
        <is>
          <t>Pirámide de Laplace (LP)</t>
        </is>
      </c>
      <c r="C82" s="18" t="n">
        <v>7.21331</v>
      </c>
      <c r="D82" s="19" t="n">
        <v>0.17953</v>
      </c>
      <c r="E82" s="18" t="n">
        <v>1.00589</v>
      </c>
      <c r="F82" s="18" t="n">
        <v>0.03261</v>
      </c>
      <c r="G82" s="19" t="n">
        <v>1.92017</v>
      </c>
      <c r="H82" s="19" t="n">
        <v>0.6521</v>
      </c>
      <c r="I82" s="18" t="n">
        <v>15.18843</v>
      </c>
      <c r="J82" s="18" t="n">
        <v>0.64418</v>
      </c>
      <c r="K82" s="18" t="n">
        <v>12.78198</v>
      </c>
    </row>
    <row r="83">
      <c r="A83" s="9" t="inlineStr"/>
      <c r="B83" s="9" t="inlineStr">
        <is>
          <t>Ratio of low-pass Pyramid (RP)</t>
        </is>
      </c>
      <c r="C83" s="18" t="n">
        <v>7.16948</v>
      </c>
      <c r="D83" s="18" t="n">
        <v>0.14522</v>
      </c>
      <c r="E83" s="18" t="n">
        <v>0.99978</v>
      </c>
      <c r="F83" s="18" t="n">
        <v>0.03571</v>
      </c>
      <c r="G83" s="18" t="n">
        <v>0.7700900000000001</v>
      </c>
      <c r="H83" s="18" t="n">
        <v>0.2168</v>
      </c>
      <c r="I83" s="18" t="n">
        <v>15.58958</v>
      </c>
      <c r="J83" s="18" t="n">
        <v>0.64583</v>
      </c>
      <c r="K83" s="18" t="n">
        <v>14.82591</v>
      </c>
    </row>
    <row r="84">
      <c r="A84" s="9" t="inlineStr"/>
      <c r="B84" s="9" t="inlineStr">
        <is>
          <t>Wavelet discreta (DWT)</t>
        </is>
      </c>
      <c r="C84" s="18" t="n">
        <v>6.99956</v>
      </c>
      <c r="D84" s="18" t="n">
        <v>0.12618</v>
      </c>
      <c r="E84" s="18" t="n">
        <v>0.97609</v>
      </c>
      <c r="F84" s="18" t="n">
        <v>0.03658</v>
      </c>
      <c r="G84" s="18" t="n">
        <v>0.7831900000000001</v>
      </c>
      <c r="H84" s="18" t="n">
        <v>0.36163</v>
      </c>
      <c r="I84" s="18" t="n">
        <v>16.92897</v>
      </c>
      <c r="J84" s="18" t="n">
        <v>0.62929</v>
      </c>
      <c r="K84" s="18" t="n">
        <v>15.25231</v>
      </c>
    </row>
    <row r="85">
      <c r="A85" s="9" t="inlineStr"/>
      <c r="B85" s="9" t="inlineStr">
        <is>
          <t>Dual-Tree Complex Wavelet (DTCWT)</t>
        </is>
      </c>
      <c r="C85" s="18" t="n">
        <v>7.0078</v>
      </c>
      <c r="D85" s="18" t="n">
        <v>0.12688</v>
      </c>
      <c r="E85" s="18" t="n">
        <v>0.97724</v>
      </c>
      <c r="F85" s="18" t="n">
        <v>0.03299</v>
      </c>
      <c r="G85" s="18" t="n">
        <v>0.80298</v>
      </c>
      <c r="H85" s="18" t="n">
        <v>0.34228</v>
      </c>
      <c r="I85" s="18" t="n">
        <v>14.99515</v>
      </c>
      <c r="J85" s="19" t="n">
        <v>0.65864</v>
      </c>
      <c r="K85" s="18" t="n">
        <v>15.27454</v>
      </c>
    </row>
    <row r="86">
      <c r="A86" s="9" t="inlineStr"/>
      <c r="B86" s="9" t="inlineStr">
        <is>
          <t>Wavelet db4 (CVT)</t>
        </is>
      </c>
      <c r="C86" s="18" t="n">
        <v>6.92723</v>
      </c>
      <c r="D86" s="18" t="n">
        <v>0.11844</v>
      </c>
      <c r="E86" s="18" t="n">
        <v>0.966</v>
      </c>
      <c r="F86" s="18" t="n">
        <v>0.03311</v>
      </c>
      <c r="G86" s="18" t="n">
        <v>0.80436</v>
      </c>
      <c r="H86" s="18" t="n">
        <v>0.38989</v>
      </c>
      <c r="I86" s="18" t="n">
        <v>14.85462</v>
      </c>
      <c r="J86" s="18" t="n">
        <v>0.64883</v>
      </c>
      <c r="K86" s="19" t="n">
        <v>15.36467</v>
      </c>
    </row>
    <row r="87">
      <c r="A87" s="9" t="inlineStr"/>
      <c r="B87" s="9" t="inlineStr">
        <is>
          <t>Top-Hat clásico</t>
        </is>
      </c>
      <c r="C87" s="18" t="n">
        <v>7.24318</v>
      </c>
      <c r="D87" s="18" t="n">
        <v>0.15752</v>
      </c>
      <c r="E87" s="18" t="n">
        <v>1.01006</v>
      </c>
      <c r="F87" s="19" t="n">
        <v>0.05609</v>
      </c>
      <c r="G87" s="18" t="n">
        <v>0.60453</v>
      </c>
      <c r="H87" s="18" t="n">
        <v>0.28792</v>
      </c>
      <c r="I87" s="19" t="n">
        <v>24.56038</v>
      </c>
      <c r="J87" s="18" t="n">
        <v>0.54091</v>
      </c>
      <c r="K87" s="18" t="n">
        <v>14.55284</v>
      </c>
    </row>
    <row r="88">
      <c r="A88" s="9" t="inlineStr"/>
      <c r="B88" s="8" t="inlineStr">
        <is>
          <t>PROPUESTA NOVEDOSA (r=25, m=0,30)</t>
        </is>
      </c>
      <c r="C88" s="19" t="n">
        <v>7.40091</v>
      </c>
      <c r="D88" s="18" t="n">
        <v>0.17166</v>
      </c>
      <c r="E88" s="19" t="n">
        <v>1.03206</v>
      </c>
      <c r="F88" s="18" t="n">
        <v>0.04391</v>
      </c>
      <c r="G88" s="18" t="n">
        <v>0.72285</v>
      </c>
      <c r="H88" s="18" t="n">
        <v>0.29833</v>
      </c>
      <c r="I88" s="18" t="n">
        <v>18.92324</v>
      </c>
      <c r="J88" s="18" t="n">
        <v>0.61499</v>
      </c>
      <c r="K88" s="18" t="n">
        <v>14.56546</v>
      </c>
    </row>
    <row r="89">
      <c r="A89" s="8" t="inlineStr">
        <is>
          <t>Athena_soldier_behind_smoke_1_meting012-1200</t>
        </is>
      </c>
      <c r="B89" s="9" t="inlineStr">
        <is>
          <t>Pirámide de Laplace (LP)</t>
        </is>
      </c>
      <c r="C89" s="18" t="n">
        <v>7.17898</v>
      </c>
      <c r="D89" s="19" t="n">
        <v>0.23123</v>
      </c>
      <c r="E89" s="18" t="n">
        <v>1.05596</v>
      </c>
      <c r="F89" s="18" t="n">
        <v>0.02848</v>
      </c>
      <c r="G89" s="19" t="n">
        <v>3.54367</v>
      </c>
      <c r="H89" s="18" t="n">
        <v>0.16305</v>
      </c>
      <c r="I89" s="18" t="n">
        <v>14.02508</v>
      </c>
      <c r="J89" s="18" t="n">
        <v>0.63295</v>
      </c>
      <c r="K89" s="18" t="n">
        <v>10.7292</v>
      </c>
    </row>
    <row r="90">
      <c r="A90" s="9" t="inlineStr"/>
      <c r="B90" s="9" t="inlineStr">
        <is>
          <t>Ratio of low-pass Pyramid (RP)</t>
        </is>
      </c>
      <c r="C90" s="18" t="n">
        <v>7.16835</v>
      </c>
      <c r="D90" s="18" t="n">
        <v>0.15105</v>
      </c>
      <c r="E90" s="18" t="n">
        <v>1.0544</v>
      </c>
      <c r="F90" s="18" t="n">
        <v>0.03024</v>
      </c>
      <c r="G90" s="18" t="n">
        <v>0.86652</v>
      </c>
      <c r="H90" s="18" t="n">
        <v>0.39473</v>
      </c>
      <c r="I90" s="18" t="n">
        <v>13.12209</v>
      </c>
      <c r="J90" s="18" t="n">
        <v>0.61167</v>
      </c>
      <c r="K90" s="18" t="n">
        <v>13.3969</v>
      </c>
    </row>
    <row r="91">
      <c r="A91" s="9" t="inlineStr"/>
      <c r="B91" s="9" t="inlineStr">
        <is>
          <t>Wavelet discreta (DWT)</t>
        </is>
      </c>
      <c r="C91" s="18" t="n">
        <v>7.08179</v>
      </c>
      <c r="D91" s="18" t="n">
        <v>0.14567</v>
      </c>
      <c r="E91" s="18" t="n">
        <v>1.04167</v>
      </c>
      <c r="F91" s="18" t="n">
        <v>0.03138</v>
      </c>
      <c r="G91" s="18" t="n">
        <v>1.15817</v>
      </c>
      <c r="H91" s="18" t="n">
        <v>0.44424</v>
      </c>
      <c r="I91" s="18" t="n">
        <v>14.78912</v>
      </c>
      <c r="J91" s="18" t="n">
        <v>0.61592</v>
      </c>
      <c r="K91" s="18" t="n">
        <v>13.53558</v>
      </c>
    </row>
    <row r="92">
      <c r="A92" s="9" t="inlineStr"/>
      <c r="B92" s="9" t="inlineStr">
        <is>
          <t>Dual-Tree Complex Wavelet (DTCWT)</t>
        </is>
      </c>
      <c r="C92" s="18" t="n">
        <v>7.08409</v>
      </c>
      <c r="D92" s="18" t="n">
        <v>0.14671</v>
      </c>
      <c r="E92" s="18" t="n">
        <v>1.04201</v>
      </c>
      <c r="F92" s="18" t="n">
        <v>0.02869</v>
      </c>
      <c r="G92" s="18" t="n">
        <v>1.20121</v>
      </c>
      <c r="H92" s="18" t="n">
        <v>0.4178</v>
      </c>
      <c r="I92" s="18" t="n">
        <v>13.5888</v>
      </c>
      <c r="J92" s="19" t="n">
        <v>0.64472</v>
      </c>
      <c r="K92" s="18" t="n">
        <v>13.53407</v>
      </c>
    </row>
    <row r="93">
      <c r="A93" s="9" t="inlineStr"/>
      <c r="B93" s="9" t="inlineStr">
        <is>
          <t>Wavelet db4 (CVT)</t>
        </is>
      </c>
      <c r="C93" s="18" t="n">
        <v>7.05119</v>
      </c>
      <c r="D93" s="18" t="n">
        <v>0.14202</v>
      </c>
      <c r="E93" s="18" t="n">
        <v>1.03716</v>
      </c>
      <c r="F93" s="18" t="n">
        <v>0.02911</v>
      </c>
      <c r="G93" s="18" t="n">
        <v>1.18721</v>
      </c>
      <c r="H93" s="19" t="n">
        <v>0.46914</v>
      </c>
      <c r="I93" s="18" t="n">
        <v>13.74852</v>
      </c>
      <c r="J93" s="18" t="n">
        <v>0.63498</v>
      </c>
      <c r="K93" s="19" t="n">
        <v>13.57298</v>
      </c>
    </row>
    <row r="94">
      <c r="A94" s="9" t="inlineStr"/>
      <c r="B94" s="9" t="inlineStr">
        <is>
          <t>Top-Hat clásico</t>
        </is>
      </c>
      <c r="C94" s="18" t="n">
        <v>7.30639</v>
      </c>
      <c r="D94" s="18" t="n">
        <v>0.16287</v>
      </c>
      <c r="E94" s="18" t="n">
        <v>1.0747</v>
      </c>
      <c r="F94" s="19" t="n">
        <v>0.05037</v>
      </c>
      <c r="G94" s="18" t="n">
        <v>0.96915</v>
      </c>
      <c r="H94" s="18" t="n">
        <v>0.29428</v>
      </c>
      <c r="I94" s="19" t="n">
        <v>22.3488</v>
      </c>
      <c r="J94" s="18" t="n">
        <v>0.51624</v>
      </c>
      <c r="K94" s="18" t="n">
        <v>13.24124</v>
      </c>
    </row>
    <row r="95">
      <c r="A95" s="9" t="inlineStr"/>
      <c r="B95" s="8" t="inlineStr">
        <is>
          <t>PROPUESTA NOVEDOSA (r=25, m=0,30)</t>
        </is>
      </c>
      <c r="C95" s="19" t="n">
        <v>7.40754</v>
      </c>
      <c r="D95" s="18" t="n">
        <v>0.17539</v>
      </c>
      <c r="E95" s="19" t="n">
        <v>1.08958</v>
      </c>
      <c r="F95" s="18" t="n">
        <v>0.03935</v>
      </c>
      <c r="G95" s="18" t="n">
        <v>1.01982</v>
      </c>
      <c r="H95" s="18" t="n">
        <v>0.31479</v>
      </c>
      <c r="I95" s="18" t="n">
        <v>17.18517</v>
      </c>
      <c r="J95" s="18" t="n">
        <v>0.58352</v>
      </c>
      <c r="K95" s="18" t="n">
        <v>13.18021</v>
      </c>
    </row>
    <row r="96">
      <c r="A96" s="8" t="inlineStr">
        <is>
          <t>Athena_soldier_behind_smoke_2_meting012-1500</t>
        </is>
      </c>
      <c r="B96" s="9" t="inlineStr">
        <is>
          <t>Pirámide de Laplace (LP)</t>
        </is>
      </c>
      <c r="C96" s="18" t="n">
        <v>6.54622</v>
      </c>
      <c r="D96" s="19" t="n">
        <v>0.23468</v>
      </c>
      <c r="E96" s="18" t="n">
        <v>1.0539</v>
      </c>
      <c r="F96" s="18" t="n">
        <v>0.02261</v>
      </c>
      <c r="G96" s="19" t="n">
        <v>2.54002</v>
      </c>
      <c r="H96" s="18" t="n">
        <v>0.19195</v>
      </c>
      <c r="I96" s="18" t="n">
        <v>13.161</v>
      </c>
      <c r="J96" s="18" t="n">
        <v>0.6379899999999999</v>
      </c>
      <c r="K96" s="18" t="n">
        <v>8.361840000000001</v>
      </c>
    </row>
    <row r="97">
      <c r="A97" s="9" t="inlineStr"/>
      <c r="B97" s="9" t="inlineStr">
        <is>
          <t>Ratio of low-pass Pyramid (RP)</t>
        </is>
      </c>
      <c r="C97" s="19" t="n">
        <v>7.23045</v>
      </c>
      <c r="D97" s="18" t="n">
        <v>0.15536</v>
      </c>
      <c r="E97" s="19" t="n">
        <v>1.16405</v>
      </c>
      <c r="F97" s="18" t="n">
        <v>0.03009</v>
      </c>
      <c r="G97" s="18" t="n">
        <v>0.77905</v>
      </c>
      <c r="H97" s="18" t="n">
        <v>0.38869</v>
      </c>
      <c r="I97" s="18" t="n">
        <v>13.14571</v>
      </c>
      <c r="J97" s="18" t="n">
        <v>0.56352</v>
      </c>
      <c r="K97" s="18" t="n">
        <v>11.0215</v>
      </c>
    </row>
    <row r="98">
      <c r="A98" s="9" t="inlineStr"/>
      <c r="B98" s="9" t="inlineStr">
        <is>
          <t>Wavelet discreta (DWT)</t>
        </is>
      </c>
      <c r="C98" s="18" t="n">
        <v>6.99178</v>
      </c>
      <c r="D98" s="18" t="n">
        <v>0.13789</v>
      </c>
      <c r="E98" s="18" t="n">
        <v>1.12563</v>
      </c>
      <c r="F98" s="18" t="n">
        <v>0.02656</v>
      </c>
      <c r="G98" s="18" t="n">
        <v>1.17823</v>
      </c>
      <c r="H98" s="18" t="n">
        <v>0.59076</v>
      </c>
      <c r="I98" s="18" t="n">
        <v>13.83465</v>
      </c>
      <c r="J98" s="18" t="n">
        <v>0.63226</v>
      </c>
      <c r="K98" s="18" t="n">
        <v>11.20686</v>
      </c>
    </row>
    <row r="99">
      <c r="A99" s="9" t="inlineStr"/>
      <c r="B99" s="9" t="inlineStr">
        <is>
          <t>Dual-Tree Complex Wavelet (DTCWT)</t>
        </is>
      </c>
      <c r="C99" s="18" t="n">
        <v>6.99567</v>
      </c>
      <c r="D99" s="18" t="n">
        <v>0.13793</v>
      </c>
      <c r="E99" s="18" t="n">
        <v>1.12626</v>
      </c>
      <c r="F99" s="18" t="n">
        <v>0.02475</v>
      </c>
      <c r="G99" s="18" t="n">
        <v>1.1741</v>
      </c>
      <c r="H99" s="18" t="n">
        <v>0.56615</v>
      </c>
      <c r="I99" s="18" t="n">
        <v>13.03147</v>
      </c>
      <c r="J99" s="19" t="n">
        <v>0.65846</v>
      </c>
      <c r="K99" s="18" t="n">
        <v>11.21098</v>
      </c>
    </row>
    <row r="100">
      <c r="A100" s="9" t="inlineStr"/>
      <c r="B100" s="9" t="inlineStr">
        <is>
          <t>Wavelet db4 (CVT)</t>
        </is>
      </c>
      <c r="C100" s="18" t="n">
        <v>6.97636</v>
      </c>
      <c r="D100" s="18" t="n">
        <v>0.13504</v>
      </c>
      <c r="E100" s="18" t="n">
        <v>1.12315</v>
      </c>
      <c r="F100" s="18" t="n">
        <v>0.02527</v>
      </c>
      <c r="G100" s="18" t="n">
        <v>1.23395</v>
      </c>
      <c r="H100" s="19" t="n">
        <v>0.62229</v>
      </c>
      <c r="I100" s="18" t="n">
        <v>13.23925</v>
      </c>
      <c r="J100" s="18" t="n">
        <v>0.6505300000000001</v>
      </c>
      <c r="K100" s="19" t="n">
        <v>11.2204</v>
      </c>
    </row>
    <row r="101">
      <c r="A101" s="9" t="inlineStr"/>
      <c r="B101" s="9" t="inlineStr">
        <is>
          <t>Top-Hat clásico</t>
        </is>
      </c>
      <c r="C101" s="18" t="n">
        <v>7.16513</v>
      </c>
      <c r="D101" s="18" t="n">
        <v>0.15199</v>
      </c>
      <c r="E101" s="18" t="n">
        <v>1.15354</v>
      </c>
      <c r="F101" s="19" t="n">
        <v>0.04548</v>
      </c>
      <c r="G101" s="18" t="n">
        <v>0.96589</v>
      </c>
      <c r="H101" s="18" t="n">
        <v>0.33751</v>
      </c>
      <c r="I101" s="19" t="n">
        <v>22.3723</v>
      </c>
      <c r="J101" s="18" t="n">
        <v>0.50989</v>
      </c>
      <c r="K101" s="18" t="n">
        <v>11.09177</v>
      </c>
    </row>
    <row r="102">
      <c r="A102" s="9" t="inlineStr"/>
      <c r="B102" s="8" t="inlineStr">
        <is>
          <t>PROPUESTA NOVEDOSA (r=25, m=0,30)</t>
        </is>
      </c>
      <c r="C102" s="18" t="n">
        <v>7.22417</v>
      </c>
      <c r="D102" s="18" t="n">
        <v>0.15721</v>
      </c>
      <c r="E102" s="18" t="n">
        <v>1.16304</v>
      </c>
      <c r="F102" s="18" t="n">
        <v>0.03191</v>
      </c>
      <c r="G102" s="18" t="n">
        <v>1.03259</v>
      </c>
      <c r="H102" s="18" t="n">
        <v>0.4759</v>
      </c>
      <c r="I102" s="18" t="n">
        <v>15.28394</v>
      </c>
      <c r="J102" s="18" t="n">
        <v>0.6042999999999999</v>
      </c>
      <c r="K102" s="18" t="n">
        <v>11.12007</v>
      </c>
    </row>
    <row r="103">
      <c r="A103" s="8" t="inlineStr">
        <is>
          <t>Athena_soldier_behind_smoke_3_meting012-1700</t>
        </is>
      </c>
      <c r="B103" s="9" t="inlineStr">
        <is>
          <t>Pirámide de Laplace (LP)</t>
        </is>
      </c>
      <c r="C103" s="19" t="n">
        <v>7.36929</v>
      </c>
      <c r="D103" s="19" t="n">
        <v>0.20009</v>
      </c>
      <c r="E103" s="19" t="n">
        <v>1.05332</v>
      </c>
      <c r="F103" s="18" t="n">
        <v>0.03344</v>
      </c>
      <c r="G103" s="19" t="n">
        <v>3.04556</v>
      </c>
      <c r="H103" s="18" t="n">
        <v>0.15028</v>
      </c>
      <c r="I103" s="18" t="n">
        <v>16.54316</v>
      </c>
      <c r="J103" s="18" t="n">
        <v>0.63718</v>
      </c>
      <c r="K103" s="18" t="n">
        <v>10.99661</v>
      </c>
    </row>
    <row r="104">
      <c r="A104" s="9" t="inlineStr"/>
      <c r="B104" s="9" t="inlineStr">
        <is>
          <t>Ratio of low-pass Pyramid (RP)</t>
        </is>
      </c>
      <c r="C104" s="18" t="n">
        <v>7.119</v>
      </c>
      <c r="D104" s="18" t="n">
        <v>0.13968</v>
      </c>
      <c r="E104" s="18" t="n">
        <v>1.01754</v>
      </c>
      <c r="F104" s="18" t="n">
        <v>0.03208</v>
      </c>
      <c r="G104" s="18" t="n">
        <v>0.86066</v>
      </c>
      <c r="H104" s="19" t="n">
        <v>0.30888</v>
      </c>
      <c r="I104" s="18" t="n">
        <v>14.83563</v>
      </c>
      <c r="J104" s="18" t="n">
        <v>0.64057</v>
      </c>
      <c r="K104" s="18" t="n">
        <v>13.67704</v>
      </c>
    </row>
    <row r="105">
      <c r="A105" s="9" t="inlineStr"/>
      <c r="B105" s="9" t="inlineStr">
        <is>
          <t>Wavelet discreta (DWT)</t>
        </is>
      </c>
      <c r="C105" s="18" t="n">
        <v>6.98599</v>
      </c>
      <c r="D105" s="18" t="n">
        <v>0.12679</v>
      </c>
      <c r="E105" s="18" t="n">
        <v>0.99853</v>
      </c>
      <c r="F105" s="18" t="n">
        <v>0.03577</v>
      </c>
      <c r="G105" s="18" t="n">
        <v>1.1015</v>
      </c>
      <c r="H105" s="18" t="n">
        <v>0.21644</v>
      </c>
      <c r="I105" s="18" t="n">
        <v>17.19472</v>
      </c>
      <c r="J105" s="18" t="n">
        <v>0.62488</v>
      </c>
      <c r="K105" s="18" t="n">
        <v>13.81986</v>
      </c>
    </row>
    <row r="106">
      <c r="A106" s="9" t="inlineStr"/>
      <c r="B106" s="9" t="inlineStr">
        <is>
          <t>Dual-Tree Complex Wavelet (DTCWT)</t>
        </is>
      </c>
      <c r="C106" s="18" t="n">
        <v>6.99019</v>
      </c>
      <c r="D106" s="18" t="n">
        <v>0.12725</v>
      </c>
      <c r="E106" s="18" t="n">
        <v>0.99913</v>
      </c>
      <c r="F106" s="18" t="n">
        <v>0.03395</v>
      </c>
      <c r="G106" s="18" t="n">
        <v>1.11374</v>
      </c>
      <c r="H106" s="18" t="n">
        <v>0.21943</v>
      </c>
      <c r="I106" s="18" t="n">
        <v>16.39519</v>
      </c>
      <c r="J106" s="19" t="n">
        <v>0.65011</v>
      </c>
      <c r="K106" s="18" t="n">
        <v>13.82819</v>
      </c>
    </row>
    <row r="107">
      <c r="A107" s="9" t="inlineStr"/>
      <c r="B107" s="9" t="inlineStr">
        <is>
          <t>Wavelet db4 (CVT)</t>
        </is>
      </c>
      <c r="C107" s="18" t="n">
        <v>6.96759</v>
      </c>
      <c r="D107" s="18" t="n">
        <v>0.12283</v>
      </c>
      <c r="E107" s="18" t="n">
        <v>0.9959</v>
      </c>
      <c r="F107" s="18" t="n">
        <v>0.03442</v>
      </c>
      <c r="G107" s="18" t="n">
        <v>1.14072</v>
      </c>
      <c r="H107" s="18" t="n">
        <v>0.21818</v>
      </c>
      <c r="I107" s="18" t="n">
        <v>16.52297</v>
      </c>
      <c r="J107" s="18" t="n">
        <v>0.6403799999999999</v>
      </c>
      <c r="K107" s="19" t="n">
        <v>13.85431</v>
      </c>
    </row>
    <row r="108">
      <c r="A108" s="9" t="inlineStr"/>
      <c r="B108" s="9" t="inlineStr">
        <is>
          <t>Top-Hat clásico</t>
        </is>
      </c>
      <c r="C108" s="18" t="n">
        <v>7.24181</v>
      </c>
      <c r="D108" s="18" t="n">
        <v>0.15055</v>
      </c>
      <c r="E108" s="18" t="n">
        <v>1.0351</v>
      </c>
      <c r="F108" s="19" t="n">
        <v>0.06809999999999999</v>
      </c>
      <c r="G108" s="18" t="n">
        <v>0.80605</v>
      </c>
      <c r="H108" s="18" t="n">
        <v>0.13159</v>
      </c>
      <c r="I108" s="19" t="n">
        <v>31.50251</v>
      </c>
      <c r="J108" s="18" t="n">
        <v>0.46877</v>
      </c>
      <c r="K108" s="18" t="n">
        <v>13.42753</v>
      </c>
    </row>
    <row r="109">
      <c r="A109" s="9" t="inlineStr"/>
      <c r="B109" s="8" t="inlineStr">
        <is>
          <t>PROPUESTA NOVEDOSA (r=25, m=0,30)</t>
        </is>
      </c>
      <c r="C109" s="18" t="n">
        <v>7.3131</v>
      </c>
      <c r="D109" s="18" t="n">
        <v>0.15689</v>
      </c>
      <c r="E109" s="18" t="n">
        <v>1.04529</v>
      </c>
      <c r="F109" s="18" t="n">
        <v>0.04674</v>
      </c>
      <c r="G109" s="18" t="n">
        <v>1.01998</v>
      </c>
      <c r="H109" s="18" t="n">
        <v>0.21793</v>
      </c>
      <c r="I109" s="18" t="n">
        <v>21.52529</v>
      </c>
      <c r="J109" s="18" t="n">
        <v>0.58462</v>
      </c>
      <c r="K109" s="18" t="n">
        <v>13.55303</v>
      </c>
    </row>
    <row r="110">
      <c r="A110" s="8" t="inlineStr">
        <is>
          <t>Athena_soldier_in_trench_1_meting016</t>
        </is>
      </c>
      <c r="B110" s="9" t="inlineStr">
        <is>
          <t>Pirámide de Laplace (LP)</t>
        </is>
      </c>
      <c r="C110" s="19" t="n">
        <v>7.14848</v>
      </c>
      <c r="D110" s="19" t="n">
        <v>0.17319</v>
      </c>
      <c r="E110" s="19" t="n">
        <v>1.04241</v>
      </c>
      <c r="F110" s="18" t="n">
        <v>0.02635</v>
      </c>
      <c r="G110" s="19" t="n">
        <v>2.88781</v>
      </c>
      <c r="H110" s="19" t="n">
        <v>0.73847</v>
      </c>
      <c r="I110" s="18" t="n">
        <v>14.31045</v>
      </c>
      <c r="J110" s="18" t="n">
        <v>0.7136</v>
      </c>
      <c r="K110" s="18" t="n">
        <v>13.88338</v>
      </c>
    </row>
    <row r="111">
      <c r="A111" s="9" t="inlineStr"/>
      <c r="B111" s="9" t="inlineStr">
        <is>
          <t>Ratio of low-pass Pyramid (RP)</t>
        </is>
      </c>
      <c r="C111" s="18" t="n">
        <v>6.77201</v>
      </c>
      <c r="D111" s="18" t="n">
        <v>0.11813</v>
      </c>
      <c r="E111" s="18" t="n">
        <v>0.98751</v>
      </c>
      <c r="F111" s="18" t="n">
        <v>0.02542</v>
      </c>
      <c r="G111" s="18" t="n">
        <v>1.29178</v>
      </c>
      <c r="H111" s="18" t="n">
        <v>0.45328</v>
      </c>
      <c r="I111" s="18" t="n">
        <v>13.2212</v>
      </c>
      <c r="J111" s="19" t="n">
        <v>0.73645</v>
      </c>
      <c r="K111" s="18" t="n">
        <v>16.48982</v>
      </c>
    </row>
    <row r="112">
      <c r="A112" s="9" t="inlineStr"/>
      <c r="B112" s="9" t="inlineStr">
        <is>
          <t>Wavelet discreta (DWT)</t>
        </is>
      </c>
      <c r="C112" s="18" t="n">
        <v>6.70023</v>
      </c>
      <c r="D112" s="18" t="n">
        <v>0.11031</v>
      </c>
      <c r="E112" s="18" t="n">
        <v>0.97704</v>
      </c>
      <c r="F112" s="18" t="n">
        <v>0.02764</v>
      </c>
      <c r="G112" s="18" t="n">
        <v>1.24388</v>
      </c>
      <c r="H112" s="18" t="n">
        <v>0.46291</v>
      </c>
      <c r="I112" s="18" t="n">
        <v>14.88437</v>
      </c>
      <c r="J112" s="18" t="n">
        <v>0.70481</v>
      </c>
      <c r="K112" s="18" t="n">
        <v>16.58783</v>
      </c>
    </row>
    <row r="113">
      <c r="A113" s="9" t="inlineStr"/>
      <c r="B113" s="9" t="inlineStr">
        <is>
          <t>Dual-Tree Complex Wavelet (DTCWT)</t>
        </is>
      </c>
      <c r="C113" s="18" t="n">
        <v>6.7096</v>
      </c>
      <c r="D113" s="18" t="n">
        <v>0.11112</v>
      </c>
      <c r="E113" s="18" t="n">
        <v>0.97841</v>
      </c>
      <c r="F113" s="18" t="n">
        <v>0.02622</v>
      </c>
      <c r="G113" s="18" t="n">
        <v>1.21747</v>
      </c>
      <c r="H113" s="18" t="n">
        <v>0.47313</v>
      </c>
      <c r="I113" s="18" t="n">
        <v>14.18233</v>
      </c>
      <c r="J113" s="18" t="n">
        <v>0.724</v>
      </c>
      <c r="K113" s="18" t="n">
        <v>16.58643</v>
      </c>
    </row>
    <row r="114">
      <c r="A114" s="9" t="inlineStr"/>
      <c r="B114" s="9" t="inlineStr">
        <is>
          <t>Wavelet db4 (CVT)</t>
        </is>
      </c>
      <c r="C114" s="18" t="n">
        <v>6.67725</v>
      </c>
      <c r="D114" s="18" t="n">
        <v>0.10459</v>
      </c>
      <c r="E114" s="18" t="n">
        <v>0.9736900000000001</v>
      </c>
      <c r="F114" s="18" t="n">
        <v>0.02626</v>
      </c>
      <c r="G114" s="18" t="n">
        <v>1.26121</v>
      </c>
      <c r="H114" s="18" t="n">
        <v>0.46714</v>
      </c>
      <c r="I114" s="18" t="n">
        <v>13.97959</v>
      </c>
      <c r="J114" s="18" t="n">
        <v>0.71839</v>
      </c>
      <c r="K114" s="19" t="n">
        <v>16.6703</v>
      </c>
    </row>
    <row r="115">
      <c r="A115" s="9" t="inlineStr"/>
      <c r="B115" s="9" t="inlineStr">
        <is>
          <t>Top-Hat clásico</t>
        </is>
      </c>
      <c r="C115" s="18" t="n">
        <v>6.93055</v>
      </c>
      <c r="D115" s="18" t="n">
        <v>0.12858</v>
      </c>
      <c r="E115" s="18" t="n">
        <v>1.01063</v>
      </c>
      <c r="F115" s="19" t="n">
        <v>0.05075</v>
      </c>
      <c r="G115" s="18" t="n">
        <v>0.84544</v>
      </c>
      <c r="H115" s="18" t="n">
        <v>0.32573</v>
      </c>
      <c r="I115" s="19" t="n">
        <v>24.30066</v>
      </c>
      <c r="J115" s="18" t="n">
        <v>0.52439</v>
      </c>
      <c r="K115" s="18" t="n">
        <v>16.16213</v>
      </c>
    </row>
    <row r="116">
      <c r="A116" s="9" t="inlineStr"/>
      <c r="B116" s="8" t="inlineStr">
        <is>
          <t>PROPUESTA NOVEDOSA (r=25, m=0,30)</t>
        </is>
      </c>
      <c r="C116" s="18" t="n">
        <v>6.99043</v>
      </c>
      <c r="D116" s="18" t="n">
        <v>0.13208</v>
      </c>
      <c r="E116" s="18" t="n">
        <v>1.01936</v>
      </c>
      <c r="F116" s="18" t="n">
        <v>0.03659</v>
      </c>
      <c r="G116" s="18" t="n">
        <v>1.02335</v>
      </c>
      <c r="H116" s="18" t="n">
        <v>0.37949</v>
      </c>
      <c r="I116" s="18" t="n">
        <v>18.10696</v>
      </c>
      <c r="J116" s="18" t="n">
        <v>0.64312</v>
      </c>
      <c r="K116" s="18" t="n">
        <v>16.19171</v>
      </c>
    </row>
    <row r="117">
      <c r="A117" s="8" t="inlineStr">
        <is>
          <t>Athena_soldier_in_trench_2_meting055</t>
        </is>
      </c>
      <c r="B117" s="9" t="inlineStr">
        <is>
          <t>Pirámide de Laplace (LP)</t>
        </is>
      </c>
      <c r="C117" s="18" t="n">
        <v>6.73158</v>
      </c>
      <c r="D117" s="19" t="n">
        <v>0.12279</v>
      </c>
      <c r="E117" s="18" t="n">
        <v>1.0193</v>
      </c>
      <c r="F117" s="18" t="n">
        <v>0.02951</v>
      </c>
      <c r="G117" s="19" t="n">
        <v>2.15668</v>
      </c>
      <c r="H117" s="19" t="n">
        <v>0.54261</v>
      </c>
      <c r="I117" s="18" t="n">
        <v>15.11527</v>
      </c>
      <c r="J117" s="18" t="n">
        <v>0.69969</v>
      </c>
      <c r="K117" s="18" t="n">
        <v>16.70199</v>
      </c>
    </row>
    <row r="118">
      <c r="A118" s="9" t="inlineStr"/>
      <c r="B118" s="9" t="inlineStr">
        <is>
          <t>Ratio of low-pass Pyramid (RP)</t>
        </is>
      </c>
      <c r="C118" s="18" t="n">
        <v>6.63621</v>
      </c>
      <c r="D118" s="18" t="n">
        <v>0.10289</v>
      </c>
      <c r="E118" s="18" t="n">
        <v>1.00486</v>
      </c>
      <c r="F118" s="18" t="n">
        <v>0.03049</v>
      </c>
      <c r="G118" s="18" t="n">
        <v>1.37868</v>
      </c>
      <c r="H118" s="18" t="n">
        <v>0.21375</v>
      </c>
      <c r="I118" s="18" t="n">
        <v>14.94544</v>
      </c>
      <c r="J118" s="18" t="n">
        <v>0.6988</v>
      </c>
      <c r="K118" s="18" t="n">
        <v>19.11213</v>
      </c>
    </row>
    <row r="119">
      <c r="A119" s="9" t="inlineStr"/>
      <c r="B119" s="9" t="inlineStr">
        <is>
          <t>Wavelet discreta (DWT)</t>
        </is>
      </c>
      <c r="C119" s="18" t="n">
        <v>6.48079</v>
      </c>
      <c r="D119" s="18" t="n">
        <v>0.09335</v>
      </c>
      <c r="E119" s="18" t="n">
        <v>0.98133</v>
      </c>
      <c r="F119" s="18" t="n">
        <v>0.0301</v>
      </c>
      <c r="G119" s="18" t="n">
        <v>1.3427</v>
      </c>
      <c r="H119" s="18" t="n">
        <v>0.20189</v>
      </c>
      <c r="I119" s="18" t="n">
        <v>15.22199</v>
      </c>
      <c r="J119" s="18" t="n">
        <v>0.69501</v>
      </c>
      <c r="K119" s="18" t="n">
        <v>19.29144</v>
      </c>
    </row>
    <row r="120">
      <c r="A120" s="9" t="inlineStr"/>
      <c r="B120" s="9" t="inlineStr">
        <is>
          <t>Dual-Tree Complex Wavelet (DTCWT)</t>
        </is>
      </c>
      <c r="C120" s="18" t="n">
        <v>6.48436</v>
      </c>
      <c r="D120" s="18" t="n">
        <v>0.09447999999999999</v>
      </c>
      <c r="E120" s="18" t="n">
        <v>0.98187</v>
      </c>
      <c r="F120" s="18" t="n">
        <v>0.02939</v>
      </c>
      <c r="G120" s="18" t="n">
        <v>1.32576</v>
      </c>
      <c r="H120" s="18" t="n">
        <v>0.21249</v>
      </c>
      <c r="I120" s="18" t="n">
        <v>14.84191</v>
      </c>
      <c r="J120" s="19" t="n">
        <v>0.70927</v>
      </c>
      <c r="K120" s="18" t="n">
        <v>19.27657</v>
      </c>
    </row>
    <row r="121">
      <c r="A121" s="9" t="inlineStr"/>
      <c r="B121" s="9" t="inlineStr">
        <is>
          <t>Wavelet db4 (CVT)</t>
        </is>
      </c>
      <c r="C121" s="18" t="n">
        <v>6.44778</v>
      </c>
      <c r="D121" s="18" t="n">
        <v>0.08896</v>
      </c>
      <c r="E121" s="18" t="n">
        <v>0.97633</v>
      </c>
      <c r="F121" s="18" t="n">
        <v>0.02929</v>
      </c>
      <c r="G121" s="18" t="n">
        <v>1.34281</v>
      </c>
      <c r="H121" s="18" t="n">
        <v>0.19762</v>
      </c>
      <c r="I121" s="18" t="n">
        <v>14.83737</v>
      </c>
      <c r="J121" s="18" t="n">
        <v>0.70504</v>
      </c>
      <c r="K121" s="19" t="n">
        <v>19.37928</v>
      </c>
    </row>
    <row r="122">
      <c r="A122" s="9" t="inlineStr"/>
      <c r="B122" s="9" t="inlineStr">
        <is>
          <t>Top-Hat clásico</t>
        </is>
      </c>
      <c r="C122" s="18" t="n">
        <v>6.79983</v>
      </c>
      <c r="D122" s="18" t="n">
        <v>0.11783</v>
      </c>
      <c r="E122" s="18" t="n">
        <v>1.02964</v>
      </c>
      <c r="F122" s="19" t="n">
        <v>0.06115</v>
      </c>
      <c r="G122" s="18" t="n">
        <v>0.73865</v>
      </c>
      <c r="H122" s="18" t="n">
        <v>0.13575</v>
      </c>
      <c r="I122" s="19" t="n">
        <v>28.38415</v>
      </c>
      <c r="J122" s="18" t="n">
        <v>0.47753</v>
      </c>
      <c r="K122" s="18" t="n">
        <v>18.25096</v>
      </c>
    </row>
    <row r="123">
      <c r="A123" s="9" t="inlineStr"/>
      <c r="B123" s="8" t="inlineStr">
        <is>
          <t>PROPUESTA NOVEDOSA (r=25, m=0,30)</t>
        </is>
      </c>
      <c r="C123" s="19" t="n">
        <v>6.86852</v>
      </c>
      <c r="D123" s="18" t="n">
        <v>0.12106</v>
      </c>
      <c r="E123" s="19" t="n">
        <v>1.04004</v>
      </c>
      <c r="F123" s="18" t="n">
        <v>0.04383</v>
      </c>
      <c r="G123" s="18" t="n">
        <v>1.0178</v>
      </c>
      <c r="H123" s="18" t="n">
        <v>0.19241</v>
      </c>
      <c r="I123" s="18" t="n">
        <v>20.84752</v>
      </c>
      <c r="J123" s="18" t="n">
        <v>0.60032</v>
      </c>
      <c r="K123" s="18" t="n">
        <v>18.43041</v>
      </c>
    </row>
    <row r="124">
      <c r="A124" s="8" t="inlineStr">
        <is>
          <t>Triclobs_Bosnia_R</t>
        </is>
      </c>
      <c r="B124" s="9" t="inlineStr">
        <is>
          <t>Pirámide de Laplace (LP)</t>
        </is>
      </c>
      <c r="C124" s="18" t="n">
        <v>6.6608</v>
      </c>
      <c r="D124" s="18" t="n">
        <v>0.20848</v>
      </c>
      <c r="E124" s="18" t="n">
        <v>1.118</v>
      </c>
      <c r="F124" s="18" t="n">
        <v>0.02039</v>
      </c>
      <c r="G124" s="18" t="n">
        <v>0.5946900000000001</v>
      </c>
      <c r="H124" s="19" t="n">
        <v>2.23326</v>
      </c>
      <c r="I124" s="18" t="n">
        <v>14.33327</v>
      </c>
      <c r="J124" s="18" t="n">
        <v>0.7113699999999999</v>
      </c>
      <c r="K124" s="18" t="n">
        <v>12.8646</v>
      </c>
    </row>
    <row r="125">
      <c r="A125" s="9" t="inlineStr"/>
      <c r="B125" s="9" t="inlineStr">
        <is>
          <t>Ratio of low-pass Pyramid (RP)</t>
        </is>
      </c>
      <c r="C125" s="18" t="n">
        <v>6.84209</v>
      </c>
      <c r="D125" s="18" t="n">
        <v>0.1981</v>
      </c>
      <c r="E125" s="18" t="n">
        <v>1.14843</v>
      </c>
      <c r="F125" s="18" t="n">
        <v>0.02799</v>
      </c>
      <c r="G125" s="18" t="n">
        <v>1.01516</v>
      </c>
      <c r="H125" s="18" t="n">
        <v>1.18966</v>
      </c>
      <c r="I125" s="18" t="n">
        <v>16.30418</v>
      </c>
      <c r="J125" s="18" t="n">
        <v>0.66851</v>
      </c>
      <c r="K125" s="18" t="n">
        <v>15.65191</v>
      </c>
    </row>
    <row r="126">
      <c r="A126" s="9" t="inlineStr"/>
      <c r="B126" s="9" t="inlineStr">
        <is>
          <t>Wavelet discreta (DWT)</t>
        </is>
      </c>
      <c r="C126" s="18" t="n">
        <v>6.82623</v>
      </c>
      <c r="D126" s="18" t="n">
        <v>0.19539</v>
      </c>
      <c r="E126" s="18" t="n">
        <v>1.14577</v>
      </c>
      <c r="F126" s="18" t="n">
        <v>0.02324</v>
      </c>
      <c r="G126" s="19" t="n">
        <v>1.02081</v>
      </c>
      <c r="H126" s="18" t="n">
        <v>1.47385</v>
      </c>
      <c r="I126" s="18" t="n">
        <v>15.47238</v>
      </c>
      <c r="J126" s="18" t="n">
        <v>0.72483</v>
      </c>
      <c r="K126" s="18" t="n">
        <v>15.67583</v>
      </c>
    </row>
    <row r="127">
      <c r="A127" s="9" t="inlineStr"/>
      <c r="B127" s="9" t="inlineStr">
        <is>
          <t>Dual-Tree Complex Wavelet (DTCWT)</t>
        </is>
      </c>
      <c r="C127" s="18" t="n">
        <v>6.85274</v>
      </c>
      <c r="D127" s="18" t="n">
        <v>0.19517</v>
      </c>
      <c r="E127" s="18" t="n">
        <v>1.15022</v>
      </c>
      <c r="F127" s="18" t="n">
        <v>0.02177</v>
      </c>
      <c r="G127" s="18" t="n">
        <v>0.98306</v>
      </c>
      <c r="H127" s="18" t="n">
        <v>1.38871</v>
      </c>
      <c r="I127" s="18" t="n">
        <v>14.45144</v>
      </c>
      <c r="J127" s="19" t="n">
        <v>0.73633</v>
      </c>
      <c r="K127" s="18" t="n">
        <v>15.69059</v>
      </c>
    </row>
    <row r="128">
      <c r="A128" s="9" t="inlineStr"/>
      <c r="B128" s="9" t="inlineStr">
        <is>
          <t>Wavelet db4 (CVT)</t>
        </is>
      </c>
      <c r="C128" s="18" t="n">
        <v>6.7869</v>
      </c>
      <c r="D128" s="18" t="n">
        <v>0.19204</v>
      </c>
      <c r="E128" s="18" t="n">
        <v>1.13917</v>
      </c>
      <c r="F128" s="18" t="n">
        <v>0.02258</v>
      </c>
      <c r="G128" s="18" t="n">
        <v>1.00349</v>
      </c>
      <c r="H128" s="18" t="n">
        <v>1.40862</v>
      </c>
      <c r="I128" s="18" t="n">
        <v>14.49227</v>
      </c>
      <c r="J128" s="18" t="n">
        <v>0.7296899999999999</v>
      </c>
      <c r="K128" s="19" t="n">
        <v>15.74157</v>
      </c>
    </row>
    <row r="129">
      <c r="A129" s="9" t="inlineStr"/>
      <c r="B129" s="9" t="inlineStr">
        <is>
          <t>Top-Hat clásico</t>
        </is>
      </c>
      <c r="C129" s="18" t="n">
        <v>6.95871</v>
      </c>
      <c r="D129" s="18" t="n">
        <v>0.20357</v>
      </c>
      <c r="E129" s="18" t="n">
        <v>1.168</v>
      </c>
      <c r="F129" s="19" t="n">
        <v>0.04013</v>
      </c>
      <c r="G129" s="18" t="n">
        <v>0.89691</v>
      </c>
      <c r="H129" s="18" t="n">
        <v>1.10565</v>
      </c>
      <c r="I129" s="19" t="n">
        <v>24.003</v>
      </c>
      <c r="J129" s="18" t="n">
        <v>0.57218</v>
      </c>
      <c r="K129" s="18" t="n">
        <v>15.33263</v>
      </c>
    </row>
    <row r="130">
      <c r="A130" s="9" t="inlineStr"/>
      <c r="B130" s="8" t="inlineStr">
        <is>
          <t>PROPUESTA NOVEDOSA (r=25, m=0,30)</t>
        </is>
      </c>
      <c r="C130" s="19" t="n">
        <v>6.97538</v>
      </c>
      <c r="D130" s="19" t="n">
        <v>0.22364</v>
      </c>
      <c r="E130" s="19" t="n">
        <v>1.1708</v>
      </c>
      <c r="F130" s="18" t="n">
        <v>0.02965</v>
      </c>
      <c r="G130" s="18" t="n">
        <v>0.88741</v>
      </c>
      <c r="H130" s="18" t="n">
        <v>1.31187</v>
      </c>
      <c r="I130" s="18" t="n">
        <v>18.8666</v>
      </c>
      <c r="J130" s="18" t="n">
        <v>0.68531</v>
      </c>
      <c r="K130" s="18" t="n">
        <v>15.00983</v>
      </c>
    </row>
    <row r="131">
      <c r="A131" s="8" t="inlineStr">
        <is>
          <t>Triclobs_Kaptein_1123</t>
        </is>
      </c>
      <c r="B131" s="9" t="inlineStr">
        <is>
          <t>Pirámide de Laplace (LP)</t>
        </is>
      </c>
      <c r="C131" s="19" t="n">
        <v>7.18866</v>
      </c>
      <c r="D131" s="19" t="n">
        <v>0.20126</v>
      </c>
      <c r="E131" s="19" t="n">
        <v>1.02787</v>
      </c>
      <c r="F131" s="18" t="n">
        <v>0.02132</v>
      </c>
      <c r="G131" s="19" t="n">
        <v>1.18122</v>
      </c>
      <c r="H131" s="19" t="n">
        <v>1.98686</v>
      </c>
      <c r="I131" s="18" t="n">
        <v>9.284409999999999</v>
      </c>
      <c r="J131" s="18" t="n">
        <v>0.7003200000000001</v>
      </c>
      <c r="K131" s="18" t="n">
        <v>13.42766</v>
      </c>
    </row>
    <row r="132">
      <c r="A132" s="9" t="inlineStr"/>
      <c r="B132" s="9" t="inlineStr">
        <is>
          <t>Ratio of low-pass Pyramid (RP)</t>
        </is>
      </c>
      <c r="C132" s="18" t="n">
        <v>6.714</v>
      </c>
      <c r="D132" s="18" t="n">
        <v>0.13217</v>
      </c>
      <c r="E132" s="18" t="n">
        <v>0.96</v>
      </c>
      <c r="F132" s="18" t="n">
        <v>0.02494</v>
      </c>
      <c r="G132" s="18" t="n">
        <v>0.63908</v>
      </c>
      <c r="H132" s="18" t="n">
        <v>0.45759</v>
      </c>
      <c r="I132" s="18" t="n">
        <v>11.33854</v>
      </c>
      <c r="J132" s="18" t="n">
        <v>0.67879</v>
      </c>
      <c r="K132" s="18" t="n">
        <v>15.94768</v>
      </c>
    </row>
    <row r="133">
      <c r="A133" s="9" t="inlineStr"/>
      <c r="B133" s="9" t="inlineStr">
        <is>
          <t>Wavelet discreta (DWT)</t>
        </is>
      </c>
      <c r="C133" s="18" t="n">
        <v>6.71605</v>
      </c>
      <c r="D133" s="18" t="n">
        <v>0.1307</v>
      </c>
      <c r="E133" s="18" t="n">
        <v>0.9603</v>
      </c>
      <c r="F133" s="18" t="n">
        <v>0.0234</v>
      </c>
      <c r="G133" s="18" t="n">
        <v>0.84667</v>
      </c>
      <c r="H133" s="18" t="n">
        <v>0.70966</v>
      </c>
      <c r="I133" s="18" t="n">
        <v>10.76803</v>
      </c>
      <c r="J133" s="18" t="n">
        <v>0.70151</v>
      </c>
      <c r="K133" s="18" t="n">
        <v>16.2381</v>
      </c>
    </row>
    <row r="134">
      <c r="A134" s="9" t="inlineStr"/>
      <c r="B134" s="9" t="inlineStr">
        <is>
          <t>Dual-Tree Complex Wavelet (DTCWT)</t>
        </is>
      </c>
      <c r="C134" s="18" t="n">
        <v>6.724</v>
      </c>
      <c r="D134" s="18" t="n">
        <v>0.13193</v>
      </c>
      <c r="E134" s="18" t="n">
        <v>0.96143</v>
      </c>
      <c r="F134" s="18" t="n">
        <v>0.02094</v>
      </c>
      <c r="G134" s="18" t="n">
        <v>0.8519600000000001</v>
      </c>
      <c r="H134" s="18" t="n">
        <v>0.70386</v>
      </c>
      <c r="I134" s="18" t="n">
        <v>9.12002</v>
      </c>
      <c r="J134" s="19" t="n">
        <v>0.72489</v>
      </c>
      <c r="K134" s="18" t="n">
        <v>16.23278</v>
      </c>
    </row>
    <row r="135">
      <c r="A135" s="9" t="inlineStr"/>
      <c r="B135" s="9" t="inlineStr">
        <is>
          <t>Wavelet db4 (CVT)</t>
        </is>
      </c>
      <c r="C135" s="18" t="n">
        <v>6.68842</v>
      </c>
      <c r="D135" s="18" t="n">
        <v>0.12784</v>
      </c>
      <c r="E135" s="18" t="n">
        <v>0.95634</v>
      </c>
      <c r="F135" s="18" t="n">
        <v>0.02183</v>
      </c>
      <c r="G135" s="18" t="n">
        <v>0.85902</v>
      </c>
      <c r="H135" s="18" t="n">
        <v>0.7168600000000001</v>
      </c>
      <c r="I135" s="18" t="n">
        <v>9.413040000000001</v>
      </c>
      <c r="J135" s="18" t="n">
        <v>0.7144</v>
      </c>
      <c r="K135" s="19" t="n">
        <v>16.29629</v>
      </c>
    </row>
    <row r="136">
      <c r="A136" s="9" t="inlineStr"/>
      <c r="B136" s="9" t="inlineStr">
        <is>
          <t>Top-Hat clásico</t>
        </is>
      </c>
      <c r="C136" s="18" t="n">
        <v>6.92661</v>
      </c>
      <c r="D136" s="18" t="n">
        <v>0.13896</v>
      </c>
      <c r="E136" s="18" t="n">
        <v>0.9903999999999999</v>
      </c>
      <c r="F136" s="19" t="n">
        <v>0.03862</v>
      </c>
      <c r="G136" s="18" t="n">
        <v>0.69873</v>
      </c>
      <c r="H136" s="18" t="n">
        <v>0.53608</v>
      </c>
      <c r="I136" s="19" t="n">
        <v>15.95473</v>
      </c>
      <c r="J136" s="18" t="n">
        <v>0.57725</v>
      </c>
      <c r="K136" s="18" t="n">
        <v>15.98544</v>
      </c>
    </row>
    <row r="137">
      <c r="A137" s="9" t="inlineStr"/>
      <c r="B137" s="8" t="inlineStr">
        <is>
          <t>PROPUESTA NOVEDOSA (r=25, m=0,30)</t>
        </is>
      </c>
      <c r="C137" s="18" t="n">
        <v>6.98109</v>
      </c>
      <c r="D137" s="18" t="n">
        <v>0.15508</v>
      </c>
      <c r="E137" s="18" t="n">
        <v>0.99819</v>
      </c>
      <c r="F137" s="18" t="n">
        <v>0.02884</v>
      </c>
      <c r="G137" s="18" t="n">
        <v>0.7872400000000001</v>
      </c>
      <c r="H137" s="18" t="n">
        <v>0.67077</v>
      </c>
      <c r="I137" s="18" t="n">
        <v>12.38207</v>
      </c>
      <c r="J137" s="18" t="n">
        <v>0.67193</v>
      </c>
      <c r="K137" s="18" t="n">
        <v>15.78024</v>
      </c>
    </row>
    <row r="138">
      <c r="A138" s="8" t="inlineStr">
        <is>
          <t>Triclobs_jeep_in_smoke_R</t>
        </is>
      </c>
      <c r="B138" s="9" t="inlineStr">
        <is>
          <t>Pirámide de Laplace (LP)</t>
        </is>
      </c>
      <c r="C138" s="18" t="n">
        <v>6.93067</v>
      </c>
      <c r="D138" s="18" t="n">
        <v>0.14345</v>
      </c>
      <c r="E138" s="18" t="n">
        <v>1.01463</v>
      </c>
      <c r="F138" s="18" t="n">
        <v>0.03888</v>
      </c>
      <c r="G138" s="18" t="n">
        <v>0.8821</v>
      </c>
      <c r="H138" s="19" t="n">
        <v>1.38236</v>
      </c>
      <c r="I138" s="18" t="n">
        <v>22.47202</v>
      </c>
      <c r="J138" s="18" t="n">
        <v>0.6109</v>
      </c>
      <c r="K138" s="18" t="n">
        <v>14.06184</v>
      </c>
    </row>
    <row r="139">
      <c r="A139" s="9" t="inlineStr"/>
      <c r="B139" s="9" t="inlineStr">
        <is>
          <t>Ratio of low-pass Pyramid (RP)</t>
        </is>
      </c>
      <c r="C139" s="18" t="n">
        <v>7.1874</v>
      </c>
      <c r="D139" s="18" t="n">
        <v>0.14957</v>
      </c>
      <c r="E139" s="18" t="n">
        <v>1.05222</v>
      </c>
      <c r="F139" s="18" t="n">
        <v>0.04906</v>
      </c>
      <c r="G139" s="18" t="n">
        <v>1.32143</v>
      </c>
      <c r="H139" s="18" t="n">
        <v>0.93947</v>
      </c>
      <c r="I139" s="18" t="n">
        <v>26.71208</v>
      </c>
      <c r="J139" s="18" t="n">
        <v>0.59653</v>
      </c>
      <c r="K139" s="18" t="n">
        <v>16.34186</v>
      </c>
    </row>
    <row r="140">
      <c r="A140" s="9" t="inlineStr"/>
      <c r="B140" s="9" t="inlineStr">
        <is>
          <t>Wavelet discreta (DWT)</t>
        </is>
      </c>
      <c r="C140" s="18" t="n">
        <v>7.10092</v>
      </c>
      <c r="D140" s="18" t="n">
        <v>0.13585</v>
      </c>
      <c r="E140" s="18" t="n">
        <v>1.03956</v>
      </c>
      <c r="F140" s="18" t="n">
        <v>0.04219</v>
      </c>
      <c r="G140" s="18" t="n">
        <v>1.34031</v>
      </c>
      <c r="H140" s="18" t="n">
        <v>1.00889</v>
      </c>
      <c r="I140" s="18" t="n">
        <v>23.63965</v>
      </c>
      <c r="J140" s="18" t="n">
        <v>0.62621</v>
      </c>
      <c r="K140" s="18" t="n">
        <v>16.62357</v>
      </c>
    </row>
    <row r="141">
      <c r="A141" s="9" t="inlineStr"/>
      <c r="B141" s="9" t="inlineStr">
        <is>
          <t>Dual-Tree Complex Wavelet (DTCWT)</t>
        </is>
      </c>
      <c r="C141" s="18" t="n">
        <v>7.10352</v>
      </c>
      <c r="D141" s="18" t="n">
        <v>0.13673</v>
      </c>
      <c r="E141" s="18" t="n">
        <v>1.03994</v>
      </c>
      <c r="F141" s="18" t="n">
        <v>0.04012</v>
      </c>
      <c r="G141" s="19" t="n">
        <v>1.38081</v>
      </c>
      <c r="H141" s="18" t="n">
        <v>0.99291</v>
      </c>
      <c r="I141" s="18" t="n">
        <v>22.59167</v>
      </c>
      <c r="J141" s="19" t="n">
        <v>0.6383799999999999</v>
      </c>
      <c r="K141" s="18" t="n">
        <v>16.6409</v>
      </c>
    </row>
    <row r="142">
      <c r="A142" s="9" t="inlineStr"/>
      <c r="B142" s="9" t="inlineStr">
        <is>
          <t>Wavelet db4 (CVT)</t>
        </is>
      </c>
      <c r="C142" s="18" t="n">
        <v>7.06123</v>
      </c>
      <c r="D142" s="18" t="n">
        <v>0.13242</v>
      </c>
      <c r="E142" s="18" t="n">
        <v>1.03375</v>
      </c>
      <c r="F142" s="18" t="n">
        <v>0.0416</v>
      </c>
      <c r="G142" s="18" t="n">
        <v>1.30723</v>
      </c>
      <c r="H142" s="18" t="n">
        <v>0.98019</v>
      </c>
      <c r="I142" s="18" t="n">
        <v>22.92362</v>
      </c>
      <c r="J142" s="18" t="n">
        <v>0.63071</v>
      </c>
      <c r="K142" s="19" t="n">
        <v>16.69141</v>
      </c>
    </row>
    <row r="143">
      <c r="A143" s="9" t="inlineStr"/>
      <c r="B143" s="9" t="inlineStr">
        <is>
          <t>Top-Hat clásico</t>
        </is>
      </c>
      <c r="C143" s="18" t="n">
        <v>7.3674</v>
      </c>
      <c r="D143" s="18" t="n">
        <v>0.16592</v>
      </c>
      <c r="E143" s="18" t="n">
        <v>1.07857</v>
      </c>
      <c r="F143" s="19" t="n">
        <v>0.08152</v>
      </c>
      <c r="G143" s="18" t="n">
        <v>0.8535199999999999</v>
      </c>
      <c r="H143" s="18" t="n">
        <v>0.53748</v>
      </c>
      <c r="I143" s="19" t="n">
        <v>44.90313</v>
      </c>
      <c r="J143" s="18" t="n">
        <v>0.45636</v>
      </c>
      <c r="K143" s="18" t="n">
        <v>15.54351</v>
      </c>
    </row>
    <row r="144">
      <c r="A144" s="9" t="inlineStr"/>
      <c r="B144" s="8" t="inlineStr">
        <is>
          <t>PROPUESTA NOVEDOSA (r=25, m=0,30)</t>
        </is>
      </c>
      <c r="C144" s="19" t="n">
        <v>7.39259</v>
      </c>
      <c r="D144" s="19" t="n">
        <v>0.17707</v>
      </c>
      <c r="E144" s="19" t="n">
        <v>1.08226</v>
      </c>
      <c r="F144" s="18" t="n">
        <v>0.05851</v>
      </c>
      <c r="G144" s="18" t="n">
        <v>1.25104</v>
      </c>
      <c r="H144" s="18" t="n">
        <v>0.93977</v>
      </c>
      <c r="I144" s="18" t="n">
        <v>32.4941</v>
      </c>
      <c r="J144" s="18" t="n">
        <v>0.56818</v>
      </c>
      <c r="K144" s="18" t="n">
        <v>15.60396</v>
      </c>
    </row>
    <row r="146">
      <c r="A146" s="7" t="inlineStr">
        <is>
          <t>Recuento sobre las 20 escenas — la propuesta obtiene el mejor valor en: EN 11/20 · SD 7/20 · FE 11/20 · MG 0/20 · MI_vis 0/20 · MI_ir 0/20 · SF 0/20 · SSIM 0/20 · PSNR 0/20. Confirma el patrón de los promedios: lidera las métricas de información y contraste, y cede las de fidelidad a las fuentes.</t>
        </is>
      </c>
    </row>
  </sheetData>
  <autoFilter ref="A4:K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7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PSO por escena — las 25 configuraciones del Cuadro 1 en cada uno de los 20 pares</t>
        </is>
      </c>
    </row>
    <row r="2">
      <c r="A2" s="2" t="inlineStr">
        <is>
          <t>Aptitud Fo = SSIM_avg + E/8 + PSNR/100 sobre el rango publicado r ∈ [1,25], m ∈ [0,30; 2,00]. En negrita la configuración de mayor aptitud de cada escena. Fuente: pso_por_imagen.csv.</t>
        </is>
      </c>
    </row>
    <row r="4">
      <c r="A4" s="10" t="inlineStr">
        <is>
          <t>Escena</t>
        </is>
      </c>
      <c r="B4" s="10" t="inlineStr">
        <is>
          <t>Partículas</t>
        </is>
      </c>
      <c r="C4" s="10" t="inlineStr">
        <is>
          <t>Iteraciones</t>
        </is>
      </c>
      <c r="D4" s="10" t="inlineStr">
        <is>
          <t>r</t>
        </is>
      </c>
      <c r="E4" s="10" t="inlineStr">
        <is>
          <t>m</t>
        </is>
      </c>
      <c r="F4" s="10" t="inlineStr">
        <is>
          <t>SSIM_avg</t>
        </is>
      </c>
      <c r="G4" s="10" t="inlineStr">
        <is>
          <t>E</t>
        </is>
      </c>
      <c r="H4" s="10" t="inlineStr">
        <is>
          <t>SF</t>
        </is>
      </c>
      <c r="I4" s="10" t="inlineStr">
        <is>
          <t>SD</t>
        </is>
      </c>
      <c r="J4" s="10" t="inlineStr">
        <is>
          <t>PSNR</t>
        </is>
      </c>
      <c r="K4" s="10" t="inlineStr">
        <is>
          <t>FO</t>
        </is>
      </c>
    </row>
    <row r="5">
      <c r="A5" s="8" t="inlineStr">
        <is>
          <t>APC_1_view_1_fk_06_005</t>
        </is>
      </c>
      <c r="B5" s="11" t="n">
        <v>2</v>
      </c>
      <c r="C5" s="11" t="n">
        <v>10</v>
      </c>
      <c r="D5" s="11" t="n">
        <v>4</v>
      </c>
      <c r="E5" s="20" t="n">
        <v>0.3</v>
      </c>
      <c r="F5" s="21" t="n">
        <v>0.72436</v>
      </c>
      <c r="G5" s="21" t="n">
        <v>6.554339</v>
      </c>
      <c r="H5" s="21" t="n">
        <v>17.615729</v>
      </c>
      <c r="I5" s="21" t="n">
        <v>0.102167</v>
      </c>
      <c r="J5" s="21" t="n">
        <v>19.902638</v>
      </c>
      <c r="K5" s="21" t="n">
        <v>1.754277</v>
      </c>
    </row>
    <row r="6">
      <c r="A6" s="9" t="inlineStr"/>
      <c r="B6" s="11" t="n">
        <v>2</v>
      </c>
      <c r="C6" s="11" t="n">
        <v>20</v>
      </c>
      <c r="D6" s="11" t="n">
        <v>25</v>
      </c>
      <c r="E6" s="20" t="n">
        <v>0.3</v>
      </c>
      <c r="F6" s="21" t="n">
        <v>0.673401</v>
      </c>
      <c r="G6" s="21" t="n">
        <v>6.86487</v>
      </c>
      <c r="H6" s="21" t="n">
        <v>19.009294</v>
      </c>
      <c r="I6" s="21" t="n">
        <v>0.125813</v>
      </c>
      <c r="J6" s="21" t="n">
        <v>18.970182</v>
      </c>
      <c r="K6" s="21" t="n">
        <v>1.721211</v>
      </c>
    </row>
    <row r="7">
      <c r="A7" s="9" t="inlineStr"/>
      <c r="B7" s="11" t="n">
        <v>2</v>
      </c>
      <c r="C7" s="11" t="n">
        <v>30</v>
      </c>
      <c r="D7" s="11" t="n">
        <v>1</v>
      </c>
      <c r="E7" s="20" t="n">
        <v>0.9104</v>
      </c>
      <c r="F7" s="21" t="n">
        <v>0.6249670000000001</v>
      </c>
      <c r="G7" s="21" t="n">
        <v>6.611474</v>
      </c>
      <c r="H7" s="21" t="n">
        <v>21.930743</v>
      </c>
      <c r="I7" s="21" t="n">
        <v>0.099893</v>
      </c>
      <c r="J7" s="21" t="n">
        <v>19.873815</v>
      </c>
      <c r="K7" s="21" t="n">
        <v>1.650134</v>
      </c>
    </row>
    <row r="8">
      <c r="A8" s="9" t="inlineStr"/>
      <c r="B8" s="11" t="n">
        <v>2</v>
      </c>
      <c r="C8" s="11" t="n">
        <v>40</v>
      </c>
      <c r="D8" s="11" t="n">
        <v>9</v>
      </c>
      <c r="E8" s="20" t="n">
        <v>0.3</v>
      </c>
      <c r="F8" s="21" t="n">
        <v>0.693715</v>
      </c>
      <c r="G8" s="21" t="n">
        <v>6.687436</v>
      </c>
      <c r="H8" s="21" t="n">
        <v>18.627261</v>
      </c>
      <c r="I8" s="21" t="n">
        <v>0.11357</v>
      </c>
      <c r="J8" s="21" t="n">
        <v>19.465741</v>
      </c>
      <c r="K8" s="21" t="n">
        <v>1.725313</v>
      </c>
    </row>
    <row r="9">
      <c r="A9" s="9" t="inlineStr"/>
      <c r="B9" s="13" t="n">
        <v>2</v>
      </c>
      <c r="C9" s="13" t="n">
        <v>50</v>
      </c>
      <c r="D9" s="13" t="n">
        <v>2</v>
      </c>
      <c r="E9" s="22" t="n">
        <v>0.3</v>
      </c>
      <c r="F9" s="23" t="n">
        <v>0.756833</v>
      </c>
      <c r="G9" s="23" t="n">
        <v>6.482147</v>
      </c>
      <c r="H9" s="23" t="n">
        <v>15.839036</v>
      </c>
      <c r="I9" s="23" t="n">
        <v>0.095099</v>
      </c>
      <c r="J9" s="23" t="n">
        <v>20.172197</v>
      </c>
      <c r="K9" s="23" t="n">
        <v>1.784237</v>
      </c>
    </row>
    <row r="10">
      <c r="A10" s="9" t="inlineStr"/>
      <c r="B10" s="11" t="n">
        <v>4</v>
      </c>
      <c r="C10" s="11" t="n">
        <v>10</v>
      </c>
      <c r="D10" s="11" t="n">
        <v>1</v>
      </c>
      <c r="E10" s="20" t="n">
        <v>0.3</v>
      </c>
      <c r="F10" s="21" t="n">
        <v>0.774484</v>
      </c>
      <c r="G10" s="21" t="n">
        <v>6.457471</v>
      </c>
      <c r="H10" s="21" t="n">
        <v>14.455348</v>
      </c>
      <c r="I10" s="21" t="n">
        <v>0.092401</v>
      </c>
      <c r="J10" s="21" t="n">
        <v>20.256882</v>
      </c>
      <c r="K10" s="21" t="n">
        <v>1.784237</v>
      </c>
    </row>
    <row r="11">
      <c r="A11" s="9" t="inlineStr"/>
      <c r="B11" s="11" t="n">
        <v>4</v>
      </c>
      <c r="C11" s="11" t="n">
        <v>20</v>
      </c>
      <c r="D11" s="11" t="n">
        <v>1</v>
      </c>
      <c r="E11" s="20" t="n">
        <v>0.3</v>
      </c>
      <c r="F11" s="21" t="n">
        <v>0.774484</v>
      </c>
      <c r="G11" s="21" t="n">
        <v>6.457471</v>
      </c>
      <c r="H11" s="21" t="n">
        <v>14.455348</v>
      </c>
      <c r="I11" s="21" t="n">
        <v>0.092401</v>
      </c>
      <c r="J11" s="21" t="n">
        <v>20.256882</v>
      </c>
      <c r="K11" s="21" t="n">
        <v>1.784237</v>
      </c>
    </row>
    <row r="12">
      <c r="A12" s="9" t="inlineStr"/>
      <c r="B12" s="11" t="n">
        <v>4</v>
      </c>
      <c r="C12" s="11" t="n">
        <v>30</v>
      </c>
      <c r="D12" s="11" t="n">
        <v>2</v>
      </c>
      <c r="E12" s="20" t="n">
        <v>0.3</v>
      </c>
      <c r="F12" s="21" t="n">
        <v>0.756833</v>
      </c>
      <c r="G12" s="21" t="n">
        <v>6.482147</v>
      </c>
      <c r="H12" s="21" t="n">
        <v>15.839036</v>
      </c>
      <c r="I12" s="21" t="n">
        <v>0.095099</v>
      </c>
      <c r="J12" s="21" t="n">
        <v>20.172197</v>
      </c>
      <c r="K12" s="21" t="n">
        <v>1.784237</v>
      </c>
    </row>
    <row r="13">
      <c r="A13" s="9" t="inlineStr"/>
      <c r="B13" s="11" t="n">
        <v>4</v>
      </c>
      <c r="C13" s="11" t="n">
        <v>40</v>
      </c>
      <c r="D13" s="11" t="n">
        <v>25</v>
      </c>
      <c r="E13" s="20" t="n">
        <v>0.3</v>
      </c>
      <c r="F13" s="21" t="n">
        <v>0.673401</v>
      </c>
      <c r="G13" s="21" t="n">
        <v>6.86487</v>
      </c>
      <c r="H13" s="21" t="n">
        <v>19.009294</v>
      </c>
      <c r="I13" s="21" t="n">
        <v>0.125813</v>
      </c>
      <c r="J13" s="21" t="n">
        <v>18.970182</v>
      </c>
      <c r="K13" s="21" t="n">
        <v>1.721211</v>
      </c>
    </row>
    <row r="14">
      <c r="A14" s="9" t="inlineStr"/>
      <c r="B14" s="11" t="n">
        <v>4</v>
      </c>
      <c r="C14" s="11" t="n">
        <v>50</v>
      </c>
      <c r="D14" s="11" t="n">
        <v>25</v>
      </c>
      <c r="E14" s="20" t="n">
        <v>0.3</v>
      </c>
      <c r="F14" s="21" t="n">
        <v>0.673401</v>
      </c>
      <c r="G14" s="21" t="n">
        <v>6.86487</v>
      </c>
      <c r="H14" s="21" t="n">
        <v>19.009294</v>
      </c>
      <c r="I14" s="21" t="n">
        <v>0.125813</v>
      </c>
      <c r="J14" s="21" t="n">
        <v>18.970182</v>
      </c>
      <c r="K14" s="21" t="n">
        <v>1.721211</v>
      </c>
    </row>
    <row r="15">
      <c r="A15" s="9" t="inlineStr"/>
      <c r="B15" s="11" t="n">
        <v>6</v>
      </c>
      <c r="C15" s="11" t="n">
        <v>10</v>
      </c>
      <c r="D15" s="11" t="n">
        <v>2</v>
      </c>
      <c r="E15" s="20" t="n">
        <v>0.3</v>
      </c>
      <c r="F15" s="21" t="n">
        <v>0.756833</v>
      </c>
      <c r="G15" s="21" t="n">
        <v>6.482147</v>
      </c>
      <c r="H15" s="21" t="n">
        <v>15.839036</v>
      </c>
      <c r="I15" s="21" t="n">
        <v>0.095099</v>
      </c>
      <c r="J15" s="21" t="n">
        <v>20.172197</v>
      </c>
      <c r="K15" s="21" t="n">
        <v>1.784237</v>
      </c>
    </row>
    <row r="16">
      <c r="A16" s="9" t="inlineStr"/>
      <c r="B16" s="11" t="n">
        <v>6</v>
      </c>
      <c r="C16" s="11" t="n">
        <v>20</v>
      </c>
      <c r="D16" s="11" t="n">
        <v>25</v>
      </c>
      <c r="E16" s="20" t="n">
        <v>0.3</v>
      </c>
      <c r="F16" s="21" t="n">
        <v>0.673401</v>
      </c>
      <c r="G16" s="21" t="n">
        <v>6.86487</v>
      </c>
      <c r="H16" s="21" t="n">
        <v>19.009294</v>
      </c>
      <c r="I16" s="21" t="n">
        <v>0.125813</v>
      </c>
      <c r="J16" s="21" t="n">
        <v>18.970182</v>
      </c>
      <c r="K16" s="21" t="n">
        <v>1.721211</v>
      </c>
    </row>
    <row r="17">
      <c r="A17" s="9" t="inlineStr"/>
      <c r="B17" s="11" t="n">
        <v>6</v>
      </c>
      <c r="C17" s="11" t="n">
        <v>30</v>
      </c>
      <c r="D17" s="11" t="n">
        <v>1</v>
      </c>
      <c r="E17" s="20" t="n">
        <v>0.3</v>
      </c>
      <c r="F17" s="21" t="n">
        <v>0.774484</v>
      </c>
      <c r="G17" s="21" t="n">
        <v>6.457471</v>
      </c>
      <c r="H17" s="21" t="n">
        <v>14.455348</v>
      </c>
      <c r="I17" s="21" t="n">
        <v>0.092401</v>
      </c>
      <c r="J17" s="21" t="n">
        <v>20.256882</v>
      </c>
      <c r="K17" s="21" t="n">
        <v>1.784237</v>
      </c>
    </row>
    <row r="18">
      <c r="A18" s="9" t="inlineStr"/>
      <c r="B18" s="11" t="n">
        <v>6</v>
      </c>
      <c r="C18" s="11" t="n">
        <v>40</v>
      </c>
      <c r="D18" s="11" t="n">
        <v>1</v>
      </c>
      <c r="E18" s="20" t="n">
        <v>0.3</v>
      </c>
      <c r="F18" s="21" t="n">
        <v>0.774484</v>
      </c>
      <c r="G18" s="21" t="n">
        <v>6.457471</v>
      </c>
      <c r="H18" s="21" t="n">
        <v>14.455348</v>
      </c>
      <c r="I18" s="21" t="n">
        <v>0.092401</v>
      </c>
      <c r="J18" s="21" t="n">
        <v>20.256882</v>
      </c>
      <c r="K18" s="21" t="n">
        <v>1.784237</v>
      </c>
    </row>
    <row r="19">
      <c r="A19" s="9" t="inlineStr"/>
      <c r="B19" s="11" t="n">
        <v>6</v>
      </c>
      <c r="C19" s="11" t="n">
        <v>50</v>
      </c>
      <c r="D19" s="11" t="n">
        <v>1</v>
      </c>
      <c r="E19" s="20" t="n">
        <v>0.3</v>
      </c>
      <c r="F19" s="21" t="n">
        <v>0.774484</v>
      </c>
      <c r="G19" s="21" t="n">
        <v>6.457471</v>
      </c>
      <c r="H19" s="21" t="n">
        <v>14.455348</v>
      </c>
      <c r="I19" s="21" t="n">
        <v>0.092401</v>
      </c>
      <c r="J19" s="21" t="n">
        <v>20.256882</v>
      </c>
      <c r="K19" s="21" t="n">
        <v>1.784237</v>
      </c>
    </row>
    <row r="20">
      <c r="A20" s="9" t="inlineStr"/>
      <c r="B20" s="11" t="n">
        <v>8</v>
      </c>
      <c r="C20" s="11" t="n">
        <v>10</v>
      </c>
      <c r="D20" s="11" t="n">
        <v>1</v>
      </c>
      <c r="E20" s="20" t="n">
        <v>0.3</v>
      </c>
      <c r="F20" s="21" t="n">
        <v>0.774484</v>
      </c>
      <c r="G20" s="21" t="n">
        <v>6.457471</v>
      </c>
      <c r="H20" s="21" t="n">
        <v>14.455348</v>
      </c>
      <c r="I20" s="21" t="n">
        <v>0.092401</v>
      </c>
      <c r="J20" s="21" t="n">
        <v>20.256882</v>
      </c>
      <c r="K20" s="21" t="n">
        <v>1.784237</v>
      </c>
    </row>
    <row r="21">
      <c r="A21" s="9" t="inlineStr"/>
      <c r="B21" s="11" t="n">
        <v>8</v>
      </c>
      <c r="C21" s="11" t="n">
        <v>20</v>
      </c>
      <c r="D21" s="11" t="n">
        <v>1</v>
      </c>
      <c r="E21" s="20" t="n">
        <v>0.3</v>
      </c>
      <c r="F21" s="21" t="n">
        <v>0.774484</v>
      </c>
      <c r="G21" s="21" t="n">
        <v>6.457471</v>
      </c>
      <c r="H21" s="21" t="n">
        <v>14.455348</v>
      </c>
      <c r="I21" s="21" t="n">
        <v>0.092401</v>
      </c>
      <c r="J21" s="21" t="n">
        <v>20.256882</v>
      </c>
      <c r="K21" s="21" t="n">
        <v>1.784237</v>
      </c>
    </row>
    <row r="22">
      <c r="A22" s="9" t="inlineStr"/>
      <c r="B22" s="11" t="n">
        <v>8</v>
      </c>
      <c r="C22" s="11" t="n">
        <v>30</v>
      </c>
      <c r="D22" s="11" t="n">
        <v>1</v>
      </c>
      <c r="E22" s="20" t="n">
        <v>0.3</v>
      </c>
      <c r="F22" s="21" t="n">
        <v>0.774484</v>
      </c>
      <c r="G22" s="21" t="n">
        <v>6.457471</v>
      </c>
      <c r="H22" s="21" t="n">
        <v>14.455348</v>
      </c>
      <c r="I22" s="21" t="n">
        <v>0.092401</v>
      </c>
      <c r="J22" s="21" t="n">
        <v>20.256882</v>
      </c>
      <c r="K22" s="21" t="n">
        <v>1.784237</v>
      </c>
    </row>
    <row r="23">
      <c r="A23" s="9" t="inlineStr"/>
      <c r="B23" s="11" t="n">
        <v>8</v>
      </c>
      <c r="C23" s="11" t="n">
        <v>40</v>
      </c>
      <c r="D23" s="11" t="n">
        <v>25</v>
      </c>
      <c r="E23" s="20" t="n">
        <v>0.3</v>
      </c>
      <c r="F23" s="21" t="n">
        <v>0.673401</v>
      </c>
      <c r="G23" s="21" t="n">
        <v>6.86487</v>
      </c>
      <c r="H23" s="21" t="n">
        <v>19.009294</v>
      </c>
      <c r="I23" s="21" t="n">
        <v>0.125813</v>
      </c>
      <c r="J23" s="21" t="n">
        <v>18.970182</v>
      </c>
      <c r="K23" s="21" t="n">
        <v>1.721211</v>
      </c>
    </row>
    <row r="24">
      <c r="A24" s="9" t="inlineStr"/>
      <c r="B24" s="11" t="n">
        <v>8</v>
      </c>
      <c r="C24" s="11" t="n">
        <v>50</v>
      </c>
      <c r="D24" s="11" t="n">
        <v>1</v>
      </c>
      <c r="E24" s="20" t="n">
        <v>0.3</v>
      </c>
      <c r="F24" s="21" t="n">
        <v>0.774484</v>
      </c>
      <c r="G24" s="21" t="n">
        <v>6.457471</v>
      </c>
      <c r="H24" s="21" t="n">
        <v>14.455348</v>
      </c>
      <c r="I24" s="21" t="n">
        <v>0.092401</v>
      </c>
      <c r="J24" s="21" t="n">
        <v>20.256882</v>
      </c>
      <c r="K24" s="21" t="n">
        <v>1.784237</v>
      </c>
    </row>
    <row r="25">
      <c r="A25" s="9" t="inlineStr"/>
      <c r="B25" s="11" t="n">
        <v>10</v>
      </c>
      <c r="C25" s="11" t="n">
        <v>10</v>
      </c>
      <c r="D25" s="11" t="n">
        <v>2</v>
      </c>
      <c r="E25" s="20" t="n">
        <v>0.3</v>
      </c>
      <c r="F25" s="21" t="n">
        <v>0.756833</v>
      </c>
      <c r="G25" s="21" t="n">
        <v>6.482147</v>
      </c>
      <c r="H25" s="21" t="n">
        <v>15.839036</v>
      </c>
      <c r="I25" s="21" t="n">
        <v>0.095099</v>
      </c>
      <c r="J25" s="21" t="n">
        <v>20.172197</v>
      </c>
      <c r="K25" s="21" t="n">
        <v>1.784237</v>
      </c>
    </row>
    <row r="26">
      <c r="A26" s="9" t="inlineStr"/>
      <c r="B26" s="11" t="n">
        <v>10</v>
      </c>
      <c r="C26" s="11" t="n">
        <v>20</v>
      </c>
      <c r="D26" s="11" t="n">
        <v>25</v>
      </c>
      <c r="E26" s="20" t="n">
        <v>0.3</v>
      </c>
      <c r="F26" s="21" t="n">
        <v>0.673401</v>
      </c>
      <c r="G26" s="21" t="n">
        <v>6.86487</v>
      </c>
      <c r="H26" s="21" t="n">
        <v>19.009294</v>
      </c>
      <c r="I26" s="21" t="n">
        <v>0.125813</v>
      </c>
      <c r="J26" s="21" t="n">
        <v>18.970182</v>
      </c>
      <c r="K26" s="21" t="n">
        <v>1.721211</v>
      </c>
    </row>
    <row r="27">
      <c r="A27" s="9" t="inlineStr"/>
      <c r="B27" s="11" t="n">
        <v>10</v>
      </c>
      <c r="C27" s="11" t="n">
        <v>30</v>
      </c>
      <c r="D27" s="11" t="n">
        <v>25</v>
      </c>
      <c r="E27" s="20" t="n">
        <v>0.3</v>
      </c>
      <c r="F27" s="21" t="n">
        <v>0.673401</v>
      </c>
      <c r="G27" s="21" t="n">
        <v>6.86487</v>
      </c>
      <c r="H27" s="21" t="n">
        <v>19.009294</v>
      </c>
      <c r="I27" s="21" t="n">
        <v>0.125813</v>
      </c>
      <c r="J27" s="21" t="n">
        <v>18.970182</v>
      </c>
      <c r="K27" s="21" t="n">
        <v>1.721211</v>
      </c>
    </row>
    <row r="28">
      <c r="A28" s="9" t="inlineStr"/>
      <c r="B28" s="11" t="n">
        <v>10</v>
      </c>
      <c r="C28" s="11" t="n">
        <v>40</v>
      </c>
      <c r="D28" s="11" t="n">
        <v>1</v>
      </c>
      <c r="E28" s="20" t="n">
        <v>0.3</v>
      </c>
      <c r="F28" s="21" t="n">
        <v>0.774484</v>
      </c>
      <c r="G28" s="21" t="n">
        <v>6.457471</v>
      </c>
      <c r="H28" s="21" t="n">
        <v>14.455348</v>
      </c>
      <c r="I28" s="21" t="n">
        <v>0.092401</v>
      </c>
      <c r="J28" s="21" t="n">
        <v>20.256882</v>
      </c>
      <c r="K28" s="21" t="n">
        <v>1.784237</v>
      </c>
    </row>
    <row r="29">
      <c r="A29" s="9" t="inlineStr"/>
      <c r="B29" s="11" t="n">
        <v>10</v>
      </c>
      <c r="C29" s="11" t="n">
        <v>50</v>
      </c>
      <c r="D29" s="11" t="n">
        <v>25</v>
      </c>
      <c r="E29" s="20" t="n">
        <v>0.3</v>
      </c>
      <c r="F29" s="21" t="n">
        <v>0.673401</v>
      </c>
      <c r="G29" s="21" t="n">
        <v>6.86487</v>
      </c>
      <c r="H29" s="21" t="n">
        <v>19.009294</v>
      </c>
      <c r="I29" s="21" t="n">
        <v>0.125813</v>
      </c>
      <c r="J29" s="21" t="n">
        <v>18.970182</v>
      </c>
      <c r="K29" s="21" t="n">
        <v>1.721211</v>
      </c>
    </row>
    <row r="30">
      <c r="A30" s="8" t="inlineStr">
        <is>
          <t>APC_1_view_2_fk_ref_01_005</t>
        </is>
      </c>
      <c r="B30" s="13" t="n">
        <v>2</v>
      </c>
      <c r="C30" s="13" t="n">
        <v>10</v>
      </c>
      <c r="D30" s="13" t="n">
        <v>1</v>
      </c>
      <c r="E30" s="22" t="n">
        <v>0.3</v>
      </c>
      <c r="F30" s="23" t="n">
        <v>0.814663</v>
      </c>
      <c r="G30" s="23" t="n">
        <v>6.673863</v>
      </c>
      <c r="H30" s="23" t="n">
        <v>14.042181</v>
      </c>
      <c r="I30" s="23" t="n">
        <v>0.109624</v>
      </c>
      <c r="J30" s="23" t="n">
        <v>21.376623</v>
      </c>
      <c r="K30" s="23" t="n">
        <v>1.862662</v>
      </c>
    </row>
    <row r="31">
      <c r="A31" s="9" t="inlineStr"/>
      <c r="B31" s="11" t="n">
        <v>2</v>
      </c>
      <c r="C31" s="11" t="n">
        <v>20</v>
      </c>
      <c r="D31" s="11" t="n">
        <v>1</v>
      </c>
      <c r="E31" s="20" t="n">
        <v>0.3</v>
      </c>
      <c r="F31" s="21" t="n">
        <v>0.814663</v>
      </c>
      <c r="G31" s="21" t="n">
        <v>6.673863</v>
      </c>
      <c r="H31" s="21" t="n">
        <v>14.042181</v>
      </c>
      <c r="I31" s="21" t="n">
        <v>0.109624</v>
      </c>
      <c r="J31" s="21" t="n">
        <v>21.376623</v>
      </c>
      <c r="K31" s="21" t="n">
        <v>1.862662</v>
      </c>
    </row>
    <row r="32">
      <c r="A32" s="9" t="inlineStr"/>
      <c r="B32" s="11" t="n">
        <v>2</v>
      </c>
      <c r="C32" s="11" t="n">
        <v>30</v>
      </c>
      <c r="D32" s="11" t="n">
        <v>25</v>
      </c>
      <c r="E32" s="20" t="n">
        <v>0.3</v>
      </c>
      <c r="F32" s="21" t="n">
        <v>0.709992</v>
      </c>
      <c r="G32" s="21" t="n">
        <v>7.045655</v>
      </c>
      <c r="H32" s="21" t="n">
        <v>18.763704</v>
      </c>
      <c r="I32" s="21" t="n">
        <v>0.141134</v>
      </c>
      <c r="J32" s="21" t="n">
        <v>19.920365</v>
      </c>
      <c r="K32" s="21" t="n">
        <v>1.789903</v>
      </c>
    </row>
    <row r="33">
      <c r="A33" s="9" t="inlineStr"/>
      <c r="B33" s="11" t="n">
        <v>2</v>
      </c>
      <c r="C33" s="11" t="n">
        <v>40</v>
      </c>
      <c r="D33" s="11" t="n">
        <v>25</v>
      </c>
      <c r="E33" s="20" t="n">
        <v>0.3</v>
      </c>
      <c r="F33" s="21" t="n">
        <v>0.709992</v>
      </c>
      <c r="G33" s="21" t="n">
        <v>7.045655</v>
      </c>
      <c r="H33" s="21" t="n">
        <v>18.763704</v>
      </c>
      <c r="I33" s="21" t="n">
        <v>0.141134</v>
      </c>
      <c r="J33" s="21" t="n">
        <v>19.920365</v>
      </c>
      <c r="K33" s="21" t="n">
        <v>1.789903</v>
      </c>
    </row>
    <row r="34">
      <c r="A34" s="9" t="inlineStr"/>
      <c r="B34" s="11" t="n">
        <v>2</v>
      </c>
      <c r="C34" s="11" t="n">
        <v>50</v>
      </c>
      <c r="D34" s="11" t="n">
        <v>1</v>
      </c>
      <c r="E34" s="20" t="n">
        <v>0.3</v>
      </c>
      <c r="F34" s="21" t="n">
        <v>0.814663</v>
      </c>
      <c r="G34" s="21" t="n">
        <v>6.673863</v>
      </c>
      <c r="H34" s="21" t="n">
        <v>14.042181</v>
      </c>
      <c r="I34" s="21" t="n">
        <v>0.109624</v>
      </c>
      <c r="J34" s="21" t="n">
        <v>21.376623</v>
      </c>
      <c r="K34" s="21" t="n">
        <v>1.862662</v>
      </c>
    </row>
    <row r="35">
      <c r="A35" s="9" t="inlineStr"/>
      <c r="B35" s="11" t="n">
        <v>4</v>
      </c>
      <c r="C35" s="11" t="n">
        <v>10</v>
      </c>
      <c r="D35" s="11" t="n">
        <v>1</v>
      </c>
      <c r="E35" s="20" t="n">
        <v>0.3</v>
      </c>
      <c r="F35" s="21" t="n">
        <v>0.814663</v>
      </c>
      <c r="G35" s="21" t="n">
        <v>6.673863</v>
      </c>
      <c r="H35" s="21" t="n">
        <v>14.042181</v>
      </c>
      <c r="I35" s="21" t="n">
        <v>0.109624</v>
      </c>
      <c r="J35" s="21" t="n">
        <v>21.376623</v>
      </c>
      <c r="K35" s="21" t="n">
        <v>1.862662</v>
      </c>
    </row>
    <row r="36">
      <c r="A36" s="9" t="inlineStr"/>
      <c r="B36" s="11" t="n">
        <v>4</v>
      </c>
      <c r="C36" s="11" t="n">
        <v>20</v>
      </c>
      <c r="D36" s="11" t="n">
        <v>1</v>
      </c>
      <c r="E36" s="20" t="n">
        <v>0.3</v>
      </c>
      <c r="F36" s="21" t="n">
        <v>0.814663</v>
      </c>
      <c r="G36" s="21" t="n">
        <v>6.673863</v>
      </c>
      <c r="H36" s="21" t="n">
        <v>14.042181</v>
      </c>
      <c r="I36" s="21" t="n">
        <v>0.109624</v>
      </c>
      <c r="J36" s="21" t="n">
        <v>21.376623</v>
      </c>
      <c r="K36" s="21" t="n">
        <v>1.862662</v>
      </c>
    </row>
    <row r="37">
      <c r="A37" s="9" t="inlineStr"/>
      <c r="B37" s="11" t="n">
        <v>4</v>
      </c>
      <c r="C37" s="11" t="n">
        <v>30</v>
      </c>
      <c r="D37" s="11" t="n">
        <v>1</v>
      </c>
      <c r="E37" s="20" t="n">
        <v>0.3</v>
      </c>
      <c r="F37" s="21" t="n">
        <v>0.814663</v>
      </c>
      <c r="G37" s="21" t="n">
        <v>6.673863</v>
      </c>
      <c r="H37" s="21" t="n">
        <v>14.042181</v>
      </c>
      <c r="I37" s="21" t="n">
        <v>0.109624</v>
      </c>
      <c r="J37" s="21" t="n">
        <v>21.376623</v>
      </c>
      <c r="K37" s="21" t="n">
        <v>1.862662</v>
      </c>
    </row>
    <row r="38">
      <c r="A38" s="9" t="inlineStr"/>
      <c r="B38" s="11" t="n">
        <v>4</v>
      </c>
      <c r="C38" s="11" t="n">
        <v>40</v>
      </c>
      <c r="D38" s="11" t="n">
        <v>25</v>
      </c>
      <c r="E38" s="20" t="n">
        <v>0.3</v>
      </c>
      <c r="F38" s="21" t="n">
        <v>0.709992</v>
      </c>
      <c r="G38" s="21" t="n">
        <v>7.045655</v>
      </c>
      <c r="H38" s="21" t="n">
        <v>18.763704</v>
      </c>
      <c r="I38" s="21" t="n">
        <v>0.141134</v>
      </c>
      <c r="J38" s="21" t="n">
        <v>19.920365</v>
      </c>
      <c r="K38" s="21" t="n">
        <v>1.789903</v>
      </c>
    </row>
    <row r="39">
      <c r="A39" s="9" t="inlineStr"/>
      <c r="B39" s="11" t="n">
        <v>4</v>
      </c>
      <c r="C39" s="11" t="n">
        <v>50</v>
      </c>
      <c r="D39" s="11" t="n">
        <v>25</v>
      </c>
      <c r="E39" s="20" t="n">
        <v>0.3</v>
      </c>
      <c r="F39" s="21" t="n">
        <v>0.709992</v>
      </c>
      <c r="G39" s="21" t="n">
        <v>7.045655</v>
      </c>
      <c r="H39" s="21" t="n">
        <v>18.763704</v>
      </c>
      <c r="I39" s="21" t="n">
        <v>0.141134</v>
      </c>
      <c r="J39" s="21" t="n">
        <v>19.920365</v>
      </c>
      <c r="K39" s="21" t="n">
        <v>1.789903</v>
      </c>
    </row>
    <row r="40">
      <c r="A40" s="9" t="inlineStr"/>
      <c r="B40" s="11" t="n">
        <v>6</v>
      </c>
      <c r="C40" s="11" t="n">
        <v>10</v>
      </c>
      <c r="D40" s="11" t="n">
        <v>1</v>
      </c>
      <c r="E40" s="20" t="n">
        <v>0.3</v>
      </c>
      <c r="F40" s="21" t="n">
        <v>0.814663</v>
      </c>
      <c r="G40" s="21" t="n">
        <v>6.673863</v>
      </c>
      <c r="H40" s="21" t="n">
        <v>14.042181</v>
      </c>
      <c r="I40" s="21" t="n">
        <v>0.109624</v>
      </c>
      <c r="J40" s="21" t="n">
        <v>21.376623</v>
      </c>
      <c r="K40" s="21" t="n">
        <v>1.862662</v>
      </c>
    </row>
    <row r="41">
      <c r="A41" s="9" t="inlineStr"/>
      <c r="B41" s="11" t="n">
        <v>6</v>
      </c>
      <c r="C41" s="11" t="n">
        <v>20</v>
      </c>
      <c r="D41" s="11" t="n">
        <v>25</v>
      </c>
      <c r="E41" s="20" t="n">
        <v>0.3</v>
      </c>
      <c r="F41" s="21" t="n">
        <v>0.709992</v>
      </c>
      <c r="G41" s="21" t="n">
        <v>7.045655</v>
      </c>
      <c r="H41" s="21" t="n">
        <v>18.763704</v>
      </c>
      <c r="I41" s="21" t="n">
        <v>0.141134</v>
      </c>
      <c r="J41" s="21" t="n">
        <v>19.920365</v>
      </c>
      <c r="K41" s="21" t="n">
        <v>1.789903</v>
      </c>
    </row>
    <row r="42">
      <c r="A42" s="9" t="inlineStr"/>
      <c r="B42" s="11" t="n">
        <v>6</v>
      </c>
      <c r="C42" s="11" t="n">
        <v>30</v>
      </c>
      <c r="D42" s="11" t="n">
        <v>1</v>
      </c>
      <c r="E42" s="20" t="n">
        <v>0.3</v>
      </c>
      <c r="F42" s="21" t="n">
        <v>0.814663</v>
      </c>
      <c r="G42" s="21" t="n">
        <v>6.673863</v>
      </c>
      <c r="H42" s="21" t="n">
        <v>14.042181</v>
      </c>
      <c r="I42" s="21" t="n">
        <v>0.109624</v>
      </c>
      <c r="J42" s="21" t="n">
        <v>21.376623</v>
      </c>
      <c r="K42" s="21" t="n">
        <v>1.862662</v>
      </c>
    </row>
    <row r="43">
      <c r="A43" s="9" t="inlineStr"/>
      <c r="B43" s="11" t="n">
        <v>6</v>
      </c>
      <c r="C43" s="11" t="n">
        <v>40</v>
      </c>
      <c r="D43" s="11" t="n">
        <v>1</v>
      </c>
      <c r="E43" s="20" t="n">
        <v>0.3</v>
      </c>
      <c r="F43" s="21" t="n">
        <v>0.814663</v>
      </c>
      <c r="G43" s="21" t="n">
        <v>6.673863</v>
      </c>
      <c r="H43" s="21" t="n">
        <v>14.042181</v>
      </c>
      <c r="I43" s="21" t="n">
        <v>0.109624</v>
      </c>
      <c r="J43" s="21" t="n">
        <v>21.376623</v>
      </c>
      <c r="K43" s="21" t="n">
        <v>1.862662</v>
      </c>
    </row>
    <row r="44">
      <c r="A44" s="9" t="inlineStr"/>
      <c r="B44" s="11" t="n">
        <v>6</v>
      </c>
      <c r="C44" s="11" t="n">
        <v>50</v>
      </c>
      <c r="D44" s="11" t="n">
        <v>1</v>
      </c>
      <c r="E44" s="20" t="n">
        <v>0.3</v>
      </c>
      <c r="F44" s="21" t="n">
        <v>0.814663</v>
      </c>
      <c r="G44" s="21" t="n">
        <v>6.673863</v>
      </c>
      <c r="H44" s="21" t="n">
        <v>14.042181</v>
      </c>
      <c r="I44" s="21" t="n">
        <v>0.109624</v>
      </c>
      <c r="J44" s="21" t="n">
        <v>21.376623</v>
      </c>
      <c r="K44" s="21" t="n">
        <v>1.862662</v>
      </c>
    </row>
    <row r="45">
      <c r="A45" s="9" t="inlineStr"/>
      <c r="B45" s="11" t="n">
        <v>8</v>
      </c>
      <c r="C45" s="11" t="n">
        <v>10</v>
      </c>
      <c r="D45" s="11" t="n">
        <v>1</v>
      </c>
      <c r="E45" s="20" t="n">
        <v>0.3</v>
      </c>
      <c r="F45" s="21" t="n">
        <v>0.814663</v>
      </c>
      <c r="G45" s="21" t="n">
        <v>6.673863</v>
      </c>
      <c r="H45" s="21" t="n">
        <v>14.042181</v>
      </c>
      <c r="I45" s="21" t="n">
        <v>0.109624</v>
      </c>
      <c r="J45" s="21" t="n">
        <v>21.376623</v>
      </c>
      <c r="K45" s="21" t="n">
        <v>1.862662</v>
      </c>
    </row>
    <row r="46">
      <c r="A46" s="9" t="inlineStr"/>
      <c r="B46" s="11" t="n">
        <v>8</v>
      </c>
      <c r="C46" s="11" t="n">
        <v>20</v>
      </c>
      <c r="D46" s="11" t="n">
        <v>1</v>
      </c>
      <c r="E46" s="20" t="n">
        <v>0.3</v>
      </c>
      <c r="F46" s="21" t="n">
        <v>0.814663</v>
      </c>
      <c r="G46" s="21" t="n">
        <v>6.673863</v>
      </c>
      <c r="H46" s="21" t="n">
        <v>14.042181</v>
      </c>
      <c r="I46" s="21" t="n">
        <v>0.109624</v>
      </c>
      <c r="J46" s="21" t="n">
        <v>21.376623</v>
      </c>
      <c r="K46" s="21" t="n">
        <v>1.862662</v>
      </c>
    </row>
    <row r="47">
      <c r="A47" s="9" t="inlineStr"/>
      <c r="B47" s="11" t="n">
        <v>8</v>
      </c>
      <c r="C47" s="11" t="n">
        <v>30</v>
      </c>
      <c r="D47" s="11" t="n">
        <v>1</v>
      </c>
      <c r="E47" s="20" t="n">
        <v>0.3</v>
      </c>
      <c r="F47" s="21" t="n">
        <v>0.814663</v>
      </c>
      <c r="G47" s="21" t="n">
        <v>6.673863</v>
      </c>
      <c r="H47" s="21" t="n">
        <v>14.042181</v>
      </c>
      <c r="I47" s="21" t="n">
        <v>0.109624</v>
      </c>
      <c r="J47" s="21" t="n">
        <v>21.376623</v>
      </c>
      <c r="K47" s="21" t="n">
        <v>1.862662</v>
      </c>
    </row>
    <row r="48">
      <c r="A48" s="9" t="inlineStr"/>
      <c r="B48" s="11" t="n">
        <v>8</v>
      </c>
      <c r="C48" s="11" t="n">
        <v>40</v>
      </c>
      <c r="D48" s="11" t="n">
        <v>1</v>
      </c>
      <c r="E48" s="20" t="n">
        <v>0.3</v>
      </c>
      <c r="F48" s="21" t="n">
        <v>0.814663</v>
      </c>
      <c r="G48" s="21" t="n">
        <v>6.673863</v>
      </c>
      <c r="H48" s="21" t="n">
        <v>14.042181</v>
      </c>
      <c r="I48" s="21" t="n">
        <v>0.109624</v>
      </c>
      <c r="J48" s="21" t="n">
        <v>21.376623</v>
      </c>
      <c r="K48" s="21" t="n">
        <v>1.862662</v>
      </c>
    </row>
    <row r="49">
      <c r="A49" s="9" t="inlineStr"/>
      <c r="B49" s="11" t="n">
        <v>8</v>
      </c>
      <c r="C49" s="11" t="n">
        <v>50</v>
      </c>
      <c r="D49" s="11" t="n">
        <v>25</v>
      </c>
      <c r="E49" s="20" t="n">
        <v>0.3</v>
      </c>
      <c r="F49" s="21" t="n">
        <v>0.709992</v>
      </c>
      <c r="G49" s="21" t="n">
        <v>7.045655</v>
      </c>
      <c r="H49" s="21" t="n">
        <v>18.763704</v>
      </c>
      <c r="I49" s="21" t="n">
        <v>0.141134</v>
      </c>
      <c r="J49" s="21" t="n">
        <v>19.920365</v>
      </c>
      <c r="K49" s="21" t="n">
        <v>1.789903</v>
      </c>
    </row>
    <row r="50">
      <c r="A50" s="9" t="inlineStr"/>
      <c r="B50" s="11" t="n">
        <v>10</v>
      </c>
      <c r="C50" s="11" t="n">
        <v>10</v>
      </c>
      <c r="D50" s="11" t="n">
        <v>1</v>
      </c>
      <c r="E50" s="20" t="n">
        <v>0.3</v>
      </c>
      <c r="F50" s="21" t="n">
        <v>0.814663</v>
      </c>
      <c r="G50" s="21" t="n">
        <v>6.673863</v>
      </c>
      <c r="H50" s="21" t="n">
        <v>14.042181</v>
      </c>
      <c r="I50" s="21" t="n">
        <v>0.109624</v>
      </c>
      <c r="J50" s="21" t="n">
        <v>21.376623</v>
      </c>
      <c r="K50" s="21" t="n">
        <v>1.862662</v>
      </c>
    </row>
    <row r="51">
      <c r="A51" s="9" t="inlineStr"/>
      <c r="B51" s="11" t="n">
        <v>10</v>
      </c>
      <c r="C51" s="11" t="n">
        <v>20</v>
      </c>
      <c r="D51" s="11" t="n">
        <v>25</v>
      </c>
      <c r="E51" s="20" t="n">
        <v>0.3</v>
      </c>
      <c r="F51" s="21" t="n">
        <v>0.709992</v>
      </c>
      <c r="G51" s="21" t="n">
        <v>7.045655</v>
      </c>
      <c r="H51" s="21" t="n">
        <v>18.763704</v>
      </c>
      <c r="I51" s="21" t="n">
        <v>0.141134</v>
      </c>
      <c r="J51" s="21" t="n">
        <v>19.920365</v>
      </c>
      <c r="K51" s="21" t="n">
        <v>1.789903</v>
      </c>
    </row>
    <row r="52">
      <c r="A52" s="9" t="inlineStr"/>
      <c r="B52" s="11" t="n">
        <v>10</v>
      </c>
      <c r="C52" s="11" t="n">
        <v>30</v>
      </c>
      <c r="D52" s="11" t="n">
        <v>1</v>
      </c>
      <c r="E52" s="20" t="n">
        <v>0.3</v>
      </c>
      <c r="F52" s="21" t="n">
        <v>0.814663</v>
      </c>
      <c r="G52" s="21" t="n">
        <v>6.673863</v>
      </c>
      <c r="H52" s="21" t="n">
        <v>14.042181</v>
      </c>
      <c r="I52" s="21" t="n">
        <v>0.109624</v>
      </c>
      <c r="J52" s="21" t="n">
        <v>21.376623</v>
      </c>
      <c r="K52" s="21" t="n">
        <v>1.862662</v>
      </c>
    </row>
    <row r="53">
      <c r="A53" s="9" t="inlineStr"/>
      <c r="B53" s="11" t="n">
        <v>10</v>
      </c>
      <c r="C53" s="11" t="n">
        <v>40</v>
      </c>
      <c r="D53" s="11" t="n">
        <v>1</v>
      </c>
      <c r="E53" s="20" t="n">
        <v>0.3</v>
      </c>
      <c r="F53" s="21" t="n">
        <v>0.814663</v>
      </c>
      <c r="G53" s="21" t="n">
        <v>6.673863</v>
      </c>
      <c r="H53" s="21" t="n">
        <v>14.042181</v>
      </c>
      <c r="I53" s="21" t="n">
        <v>0.109624</v>
      </c>
      <c r="J53" s="21" t="n">
        <v>21.376623</v>
      </c>
      <c r="K53" s="21" t="n">
        <v>1.862662</v>
      </c>
    </row>
    <row r="54">
      <c r="A54" s="9" t="inlineStr"/>
      <c r="B54" s="11" t="n">
        <v>10</v>
      </c>
      <c r="C54" s="11" t="n">
        <v>50</v>
      </c>
      <c r="D54" s="11" t="n">
        <v>1</v>
      </c>
      <c r="E54" s="20" t="n">
        <v>0.3</v>
      </c>
      <c r="F54" s="21" t="n">
        <v>0.814663</v>
      </c>
      <c r="G54" s="21" t="n">
        <v>6.673863</v>
      </c>
      <c r="H54" s="21" t="n">
        <v>14.042181</v>
      </c>
      <c r="I54" s="21" t="n">
        <v>0.109624</v>
      </c>
      <c r="J54" s="21" t="n">
        <v>21.376623</v>
      </c>
      <c r="K54" s="21" t="n">
        <v>1.862662</v>
      </c>
    </row>
    <row r="55">
      <c r="A55" s="8" t="inlineStr">
        <is>
          <t>APC_1_view_3_fk_ref_02_005</t>
        </is>
      </c>
      <c r="B55" s="11" t="n">
        <v>2</v>
      </c>
      <c r="C55" s="11" t="n">
        <v>10</v>
      </c>
      <c r="D55" s="11" t="n">
        <v>25</v>
      </c>
      <c r="E55" s="20" t="n">
        <v>0.3</v>
      </c>
      <c r="F55" s="21" t="n">
        <v>0.665696</v>
      </c>
      <c r="G55" s="21" t="n">
        <v>7.295092</v>
      </c>
      <c r="H55" s="21" t="n">
        <v>22.178588</v>
      </c>
      <c r="I55" s="21" t="n">
        <v>0.170549</v>
      </c>
      <c r="J55" s="21" t="n">
        <v>18.795663</v>
      </c>
      <c r="K55" s="21" t="n">
        <v>1.765539</v>
      </c>
    </row>
    <row r="56">
      <c r="A56" s="9" t="inlineStr"/>
      <c r="B56" s="13" t="n">
        <v>2</v>
      </c>
      <c r="C56" s="13" t="n">
        <v>20</v>
      </c>
      <c r="D56" s="13" t="n">
        <v>1</v>
      </c>
      <c r="E56" s="22" t="n">
        <v>0.3</v>
      </c>
      <c r="F56" s="23" t="n">
        <v>0.772578</v>
      </c>
      <c r="G56" s="23" t="n">
        <v>6.995213</v>
      </c>
      <c r="H56" s="23" t="n">
        <v>16.537087</v>
      </c>
      <c r="I56" s="23" t="n">
        <v>0.13805</v>
      </c>
      <c r="J56" s="23" t="n">
        <v>20.246647</v>
      </c>
      <c r="K56" s="23" t="n">
        <v>1.849446</v>
      </c>
    </row>
    <row r="57">
      <c r="A57" s="9" t="inlineStr"/>
      <c r="B57" s="11" t="n">
        <v>2</v>
      </c>
      <c r="C57" s="11" t="n">
        <v>30</v>
      </c>
      <c r="D57" s="11" t="n">
        <v>1</v>
      </c>
      <c r="E57" s="20" t="n">
        <v>0.3</v>
      </c>
      <c r="F57" s="21" t="n">
        <v>0.772578</v>
      </c>
      <c r="G57" s="21" t="n">
        <v>6.995213</v>
      </c>
      <c r="H57" s="21" t="n">
        <v>16.537087</v>
      </c>
      <c r="I57" s="21" t="n">
        <v>0.13805</v>
      </c>
      <c r="J57" s="21" t="n">
        <v>20.246647</v>
      </c>
      <c r="K57" s="21" t="n">
        <v>1.849446</v>
      </c>
    </row>
    <row r="58">
      <c r="A58" s="9" t="inlineStr"/>
      <c r="B58" s="11" t="n">
        <v>2</v>
      </c>
      <c r="C58" s="11" t="n">
        <v>40</v>
      </c>
      <c r="D58" s="11" t="n">
        <v>24</v>
      </c>
      <c r="E58" s="20" t="n">
        <v>0.3</v>
      </c>
      <c r="F58" s="21" t="n">
        <v>0.6671280000000001</v>
      </c>
      <c r="G58" s="21" t="n">
        <v>7.285462</v>
      </c>
      <c r="H58" s="21" t="n">
        <v>22.158386</v>
      </c>
      <c r="I58" s="21" t="n">
        <v>0.169654</v>
      </c>
      <c r="J58" s="21" t="n">
        <v>18.826023</v>
      </c>
      <c r="K58" s="21" t="n">
        <v>1.766071</v>
      </c>
    </row>
    <row r="59">
      <c r="A59" s="9" t="inlineStr"/>
      <c r="B59" s="11" t="n">
        <v>2</v>
      </c>
      <c r="C59" s="11" t="n">
        <v>50</v>
      </c>
      <c r="D59" s="11" t="n">
        <v>1</v>
      </c>
      <c r="E59" s="20" t="n">
        <v>0.3</v>
      </c>
      <c r="F59" s="21" t="n">
        <v>0.772578</v>
      </c>
      <c r="G59" s="21" t="n">
        <v>6.995213</v>
      </c>
      <c r="H59" s="21" t="n">
        <v>16.537087</v>
      </c>
      <c r="I59" s="21" t="n">
        <v>0.13805</v>
      </c>
      <c r="J59" s="21" t="n">
        <v>20.246647</v>
      </c>
      <c r="K59" s="21" t="n">
        <v>1.849446</v>
      </c>
    </row>
    <row r="60">
      <c r="A60" s="9" t="inlineStr"/>
      <c r="B60" s="11" t="n">
        <v>4</v>
      </c>
      <c r="C60" s="11" t="n">
        <v>10</v>
      </c>
      <c r="D60" s="11" t="n">
        <v>1</v>
      </c>
      <c r="E60" s="20" t="n">
        <v>0.3</v>
      </c>
      <c r="F60" s="21" t="n">
        <v>0.772578</v>
      </c>
      <c r="G60" s="21" t="n">
        <v>6.995213</v>
      </c>
      <c r="H60" s="21" t="n">
        <v>16.537087</v>
      </c>
      <c r="I60" s="21" t="n">
        <v>0.13805</v>
      </c>
      <c r="J60" s="21" t="n">
        <v>20.246647</v>
      </c>
      <c r="K60" s="21" t="n">
        <v>1.849446</v>
      </c>
    </row>
    <row r="61">
      <c r="A61" s="9" t="inlineStr"/>
      <c r="B61" s="11" t="n">
        <v>4</v>
      </c>
      <c r="C61" s="11" t="n">
        <v>20</v>
      </c>
      <c r="D61" s="11" t="n">
        <v>1</v>
      </c>
      <c r="E61" s="20" t="n">
        <v>0.3</v>
      </c>
      <c r="F61" s="21" t="n">
        <v>0.772578</v>
      </c>
      <c r="G61" s="21" t="n">
        <v>6.995213</v>
      </c>
      <c r="H61" s="21" t="n">
        <v>16.537087</v>
      </c>
      <c r="I61" s="21" t="n">
        <v>0.13805</v>
      </c>
      <c r="J61" s="21" t="n">
        <v>20.246647</v>
      </c>
      <c r="K61" s="21" t="n">
        <v>1.849446</v>
      </c>
    </row>
    <row r="62">
      <c r="A62" s="9" t="inlineStr"/>
      <c r="B62" s="11" t="n">
        <v>4</v>
      </c>
      <c r="C62" s="11" t="n">
        <v>30</v>
      </c>
      <c r="D62" s="11" t="n">
        <v>1</v>
      </c>
      <c r="E62" s="20" t="n">
        <v>0.3</v>
      </c>
      <c r="F62" s="21" t="n">
        <v>0.772578</v>
      </c>
      <c r="G62" s="21" t="n">
        <v>6.995213</v>
      </c>
      <c r="H62" s="21" t="n">
        <v>16.537087</v>
      </c>
      <c r="I62" s="21" t="n">
        <v>0.13805</v>
      </c>
      <c r="J62" s="21" t="n">
        <v>20.246647</v>
      </c>
      <c r="K62" s="21" t="n">
        <v>1.849446</v>
      </c>
    </row>
    <row r="63">
      <c r="A63" s="9" t="inlineStr"/>
      <c r="B63" s="11" t="n">
        <v>4</v>
      </c>
      <c r="C63" s="11" t="n">
        <v>40</v>
      </c>
      <c r="D63" s="11" t="n">
        <v>1</v>
      </c>
      <c r="E63" s="20" t="n">
        <v>0.3</v>
      </c>
      <c r="F63" s="21" t="n">
        <v>0.772578</v>
      </c>
      <c r="G63" s="21" t="n">
        <v>6.995213</v>
      </c>
      <c r="H63" s="21" t="n">
        <v>16.537087</v>
      </c>
      <c r="I63" s="21" t="n">
        <v>0.13805</v>
      </c>
      <c r="J63" s="21" t="n">
        <v>20.246647</v>
      </c>
      <c r="K63" s="21" t="n">
        <v>1.849446</v>
      </c>
    </row>
    <row r="64">
      <c r="A64" s="9" t="inlineStr"/>
      <c r="B64" s="11" t="n">
        <v>4</v>
      </c>
      <c r="C64" s="11" t="n">
        <v>50</v>
      </c>
      <c r="D64" s="11" t="n">
        <v>2</v>
      </c>
      <c r="E64" s="20" t="n">
        <v>0.3</v>
      </c>
      <c r="F64" s="21" t="n">
        <v>0.748943</v>
      </c>
      <c r="G64" s="21" t="n">
        <v>7.025284</v>
      </c>
      <c r="H64" s="21" t="n">
        <v>18.60219</v>
      </c>
      <c r="I64" s="21" t="n">
        <v>0.140787</v>
      </c>
      <c r="J64" s="21" t="n">
        <v>20.098105</v>
      </c>
      <c r="K64" s="21" t="n">
        <v>1.849446</v>
      </c>
    </row>
    <row r="65">
      <c r="A65" s="9" t="inlineStr"/>
      <c r="B65" s="11" t="n">
        <v>6</v>
      </c>
      <c r="C65" s="11" t="n">
        <v>10</v>
      </c>
      <c r="D65" s="11" t="n">
        <v>1</v>
      </c>
      <c r="E65" s="20" t="n">
        <v>0.3</v>
      </c>
      <c r="F65" s="21" t="n">
        <v>0.772578</v>
      </c>
      <c r="G65" s="21" t="n">
        <v>6.995213</v>
      </c>
      <c r="H65" s="21" t="n">
        <v>16.537087</v>
      </c>
      <c r="I65" s="21" t="n">
        <v>0.13805</v>
      </c>
      <c r="J65" s="21" t="n">
        <v>20.246647</v>
      </c>
      <c r="K65" s="21" t="n">
        <v>1.849446</v>
      </c>
    </row>
    <row r="66">
      <c r="A66" s="9" t="inlineStr"/>
      <c r="B66" s="11" t="n">
        <v>6</v>
      </c>
      <c r="C66" s="11" t="n">
        <v>20</v>
      </c>
      <c r="D66" s="11" t="n">
        <v>1</v>
      </c>
      <c r="E66" s="20" t="n">
        <v>0.3</v>
      </c>
      <c r="F66" s="21" t="n">
        <v>0.772578</v>
      </c>
      <c r="G66" s="21" t="n">
        <v>6.995213</v>
      </c>
      <c r="H66" s="21" t="n">
        <v>16.537087</v>
      </c>
      <c r="I66" s="21" t="n">
        <v>0.13805</v>
      </c>
      <c r="J66" s="21" t="n">
        <v>20.246647</v>
      </c>
      <c r="K66" s="21" t="n">
        <v>1.849446</v>
      </c>
    </row>
    <row r="67">
      <c r="A67" s="9" t="inlineStr"/>
      <c r="B67" s="11" t="n">
        <v>6</v>
      </c>
      <c r="C67" s="11" t="n">
        <v>30</v>
      </c>
      <c r="D67" s="11" t="n">
        <v>1</v>
      </c>
      <c r="E67" s="20" t="n">
        <v>0.3</v>
      </c>
      <c r="F67" s="21" t="n">
        <v>0.772578</v>
      </c>
      <c r="G67" s="21" t="n">
        <v>6.995213</v>
      </c>
      <c r="H67" s="21" t="n">
        <v>16.537087</v>
      </c>
      <c r="I67" s="21" t="n">
        <v>0.13805</v>
      </c>
      <c r="J67" s="21" t="n">
        <v>20.246647</v>
      </c>
      <c r="K67" s="21" t="n">
        <v>1.849446</v>
      </c>
    </row>
    <row r="68">
      <c r="A68" s="9" t="inlineStr"/>
      <c r="B68" s="11" t="n">
        <v>6</v>
      </c>
      <c r="C68" s="11" t="n">
        <v>40</v>
      </c>
      <c r="D68" s="11" t="n">
        <v>1</v>
      </c>
      <c r="E68" s="20" t="n">
        <v>0.3</v>
      </c>
      <c r="F68" s="21" t="n">
        <v>0.772578</v>
      </c>
      <c r="G68" s="21" t="n">
        <v>6.995213</v>
      </c>
      <c r="H68" s="21" t="n">
        <v>16.537087</v>
      </c>
      <c r="I68" s="21" t="n">
        <v>0.13805</v>
      </c>
      <c r="J68" s="21" t="n">
        <v>20.246647</v>
      </c>
      <c r="K68" s="21" t="n">
        <v>1.849446</v>
      </c>
    </row>
    <row r="69">
      <c r="A69" s="9" t="inlineStr"/>
      <c r="B69" s="11" t="n">
        <v>6</v>
      </c>
      <c r="C69" s="11" t="n">
        <v>50</v>
      </c>
      <c r="D69" s="11" t="n">
        <v>1</v>
      </c>
      <c r="E69" s="20" t="n">
        <v>0.3</v>
      </c>
      <c r="F69" s="21" t="n">
        <v>0.772578</v>
      </c>
      <c r="G69" s="21" t="n">
        <v>6.995213</v>
      </c>
      <c r="H69" s="21" t="n">
        <v>16.537087</v>
      </c>
      <c r="I69" s="21" t="n">
        <v>0.13805</v>
      </c>
      <c r="J69" s="21" t="n">
        <v>20.246647</v>
      </c>
      <c r="K69" s="21" t="n">
        <v>1.849446</v>
      </c>
    </row>
    <row r="70">
      <c r="A70" s="9" t="inlineStr"/>
      <c r="B70" s="11" t="n">
        <v>8</v>
      </c>
      <c r="C70" s="11" t="n">
        <v>10</v>
      </c>
      <c r="D70" s="11" t="n">
        <v>1</v>
      </c>
      <c r="E70" s="20" t="n">
        <v>0.3</v>
      </c>
      <c r="F70" s="21" t="n">
        <v>0.772578</v>
      </c>
      <c r="G70" s="21" t="n">
        <v>6.995213</v>
      </c>
      <c r="H70" s="21" t="n">
        <v>16.537087</v>
      </c>
      <c r="I70" s="21" t="n">
        <v>0.13805</v>
      </c>
      <c r="J70" s="21" t="n">
        <v>20.246647</v>
      </c>
      <c r="K70" s="21" t="n">
        <v>1.849446</v>
      </c>
    </row>
    <row r="71">
      <c r="A71" s="9" t="inlineStr"/>
      <c r="B71" s="11" t="n">
        <v>8</v>
      </c>
      <c r="C71" s="11" t="n">
        <v>20</v>
      </c>
      <c r="D71" s="11" t="n">
        <v>2</v>
      </c>
      <c r="E71" s="20" t="n">
        <v>0.3</v>
      </c>
      <c r="F71" s="21" t="n">
        <v>0.748943</v>
      </c>
      <c r="G71" s="21" t="n">
        <v>7.025284</v>
      </c>
      <c r="H71" s="21" t="n">
        <v>18.60219</v>
      </c>
      <c r="I71" s="21" t="n">
        <v>0.140787</v>
      </c>
      <c r="J71" s="21" t="n">
        <v>20.098105</v>
      </c>
      <c r="K71" s="21" t="n">
        <v>1.849446</v>
      </c>
    </row>
    <row r="72">
      <c r="A72" s="9" t="inlineStr"/>
      <c r="B72" s="11" t="n">
        <v>8</v>
      </c>
      <c r="C72" s="11" t="n">
        <v>30</v>
      </c>
      <c r="D72" s="11" t="n">
        <v>1</v>
      </c>
      <c r="E72" s="20" t="n">
        <v>0.3</v>
      </c>
      <c r="F72" s="21" t="n">
        <v>0.772578</v>
      </c>
      <c r="G72" s="21" t="n">
        <v>6.995213</v>
      </c>
      <c r="H72" s="21" t="n">
        <v>16.537087</v>
      </c>
      <c r="I72" s="21" t="n">
        <v>0.13805</v>
      </c>
      <c r="J72" s="21" t="n">
        <v>20.246647</v>
      </c>
      <c r="K72" s="21" t="n">
        <v>1.849446</v>
      </c>
    </row>
    <row r="73">
      <c r="A73" s="9" t="inlineStr"/>
      <c r="B73" s="11" t="n">
        <v>8</v>
      </c>
      <c r="C73" s="11" t="n">
        <v>40</v>
      </c>
      <c r="D73" s="11" t="n">
        <v>1</v>
      </c>
      <c r="E73" s="20" t="n">
        <v>0.3</v>
      </c>
      <c r="F73" s="21" t="n">
        <v>0.772578</v>
      </c>
      <c r="G73" s="21" t="n">
        <v>6.995213</v>
      </c>
      <c r="H73" s="21" t="n">
        <v>16.537087</v>
      </c>
      <c r="I73" s="21" t="n">
        <v>0.13805</v>
      </c>
      <c r="J73" s="21" t="n">
        <v>20.246647</v>
      </c>
      <c r="K73" s="21" t="n">
        <v>1.849446</v>
      </c>
    </row>
    <row r="74">
      <c r="A74" s="9" t="inlineStr"/>
      <c r="B74" s="11" t="n">
        <v>8</v>
      </c>
      <c r="C74" s="11" t="n">
        <v>50</v>
      </c>
      <c r="D74" s="11" t="n">
        <v>1</v>
      </c>
      <c r="E74" s="20" t="n">
        <v>0.3</v>
      </c>
      <c r="F74" s="21" t="n">
        <v>0.772578</v>
      </c>
      <c r="G74" s="21" t="n">
        <v>6.995213</v>
      </c>
      <c r="H74" s="21" t="n">
        <v>16.537087</v>
      </c>
      <c r="I74" s="21" t="n">
        <v>0.13805</v>
      </c>
      <c r="J74" s="21" t="n">
        <v>20.246647</v>
      </c>
      <c r="K74" s="21" t="n">
        <v>1.849446</v>
      </c>
    </row>
    <row r="75">
      <c r="A75" s="9" t="inlineStr"/>
      <c r="B75" s="11" t="n">
        <v>10</v>
      </c>
      <c r="C75" s="11" t="n">
        <v>10</v>
      </c>
      <c r="D75" s="11" t="n">
        <v>1</v>
      </c>
      <c r="E75" s="20" t="n">
        <v>0.3</v>
      </c>
      <c r="F75" s="21" t="n">
        <v>0.772578</v>
      </c>
      <c r="G75" s="21" t="n">
        <v>6.995213</v>
      </c>
      <c r="H75" s="21" t="n">
        <v>16.537087</v>
      </c>
      <c r="I75" s="21" t="n">
        <v>0.13805</v>
      </c>
      <c r="J75" s="21" t="n">
        <v>20.246647</v>
      </c>
      <c r="K75" s="21" t="n">
        <v>1.849446</v>
      </c>
    </row>
    <row r="76">
      <c r="A76" s="9" t="inlineStr"/>
      <c r="B76" s="11" t="n">
        <v>10</v>
      </c>
      <c r="C76" s="11" t="n">
        <v>20</v>
      </c>
      <c r="D76" s="11" t="n">
        <v>1</v>
      </c>
      <c r="E76" s="20" t="n">
        <v>0.3</v>
      </c>
      <c r="F76" s="21" t="n">
        <v>0.772578</v>
      </c>
      <c r="G76" s="21" t="n">
        <v>6.995213</v>
      </c>
      <c r="H76" s="21" t="n">
        <v>16.537087</v>
      </c>
      <c r="I76" s="21" t="n">
        <v>0.13805</v>
      </c>
      <c r="J76" s="21" t="n">
        <v>20.246647</v>
      </c>
      <c r="K76" s="21" t="n">
        <v>1.849446</v>
      </c>
    </row>
    <row r="77">
      <c r="A77" s="9" t="inlineStr"/>
      <c r="B77" s="11" t="n">
        <v>10</v>
      </c>
      <c r="C77" s="11" t="n">
        <v>30</v>
      </c>
      <c r="D77" s="11" t="n">
        <v>1</v>
      </c>
      <c r="E77" s="20" t="n">
        <v>0.3</v>
      </c>
      <c r="F77" s="21" t="n">
        <v>0.772578</v>
      </c>
      <c r="G77" s="21" t="n">
        <v>6.995213</v>
      </c>
      <c r="H77" s="21" t="n">
        <v>16.537087</v>
      </c>
      <c r="I77" s="21" t="n">
        <v>0.13805</v>
      </c>
      <c r="J77" s="21" t="n">
        <v>20.246647</v>
      </c>
      <c r="K77" s="21" t="n">
        <v>1.849446</v>
      </c>
    </row>
    <row r="78">
      <c r="A78" s="9" t="inlineStr"/>
      <c r="B78" s="11" t="n">
        <v>10</v>
      </c>
      <c r="C78" s="11" t="n">
        <v>40</v>
      </c>
      <c r="D78" s="11" t="n">
        <v>1</v>
      </c>
      <c r="E78" s="20" t="n">
        <v>0.3</v>
      </c>
      <c r="F78" s="21" t="n">
        <v>0.772578</v>
      </c>
      <c r="G78" s="21" t="n">
        <v>6.995213</v>
      </c>
      <c r="H78" s="21" t="n">
        <v>16.537087</v>
      </c>
      <c r="I78" s="21" t="n">
        <v>0.13805</v>
      </c>
      <c r="J78" s="21" t="n">
        <v>20.246647</v>
      </c>
      <c r="K78" s="21" t="n">
        <v>1.849446</v>
      </c>
    </row>
    <row r="79">
      <c r="A79" s="9" t="inlineStr"/>
      <c r="B79" s="11" t="n">
        <v>10</v>
      </c>
      <c r="C79" s="11" t="n">
        <v>50</v>
      </c>
      <c r="D79" s="11" t="n">
        <v>1</v>
      </c>
      <c r="E79" s="20" t="n">
        <v>0.3</v>
      </c>
      <c r="F79" s="21" t="n">
        <v>0.772578</v>
      </c>
      <c r="G79" s="21" t="n">
        <v>6.995213</v>
      </c>
      <c r="H79" s="21" t="n">
        <v>16.537087</v>
      </c>
      <c r="I79" s="21" t="n">
        <v>0.13805</v>
      </c>
      <c r="J79" s="21" t="n">
        <v>20.246647</v>
      </c>
      <c r="K79" s="21" t="n">
        <v>1.849446</v>
      </c>
    </row>
    <row r="80">
      <c r="A80" s="8" t="inlineStr">
        <is>
          <t>APC_3_view_1_fk_bar_06_005</t>
        </is>
      </c>
      <c r="B80" s="11" t="n">
        <v>2</v>
      </c>
      <c r="C80" s="11" t="n">
        <v>10</v>
      </c>
      <c r="D80" s="11" t="n">
        <v>1</v>
      </c>
      <c r="E80" s="20" t="n">
        <v>1.5353</v>
      </c>
      <c r="F80" s="21" t="n">
        <v>0.505472</v>
      </c>
      <c r="G80" s="21" t="n">
        <v>6.833228</v>
      </c>
      <c r="H80" s="21" t="n">
        <v>30.170916</v>
      </c>
      <c r="I80" s="21" t="n">
        <v>0.113714</v>
      </c>
      <c r="J80" s="21" t="n">
        <v>21.919783</v>
      </c>
      <c r="K80" s="21" t="n">
        <v>1.578832</v>
      </c>
    </row>
    <row r="81">
      <c r="A81" s="9" t="inlineStr"/>
      <c r="B81" s="13" t="n">
        <v>2</v>
      </c>
      <c r="C81" s="13" t="n">
        <v>20</v>
      </c>
      <c r="D81" s="13" t="n">
        <v>2</v>
      </c>
      <c r="E81" s="22" t="n">
        <v>0.3</v>
      </c>
      <c r="F81" s="23" t="n">
        <v>0.810986</v>
      </c>
      <c r="G81" s="23" t="n">
        <v>6.519594</v>
      </c>
      <c r="H81" s="23" t="n">
        <v>15.450467</v>
      </c>
      <c r="I81" s="23" t="n">
        <v>0.09859800000000001</v>
      </c>
      <c r="J81" s="23" t="n">
        <v>23.857905</v>
      </c>
      <c r="K81" s="23" t="n">
        <v>1.881469</v>
      </c>
    </row>
    <row r="82">
      <c r="A82" s="9" t="inlineStr"/>
      <c r="B82" s="11" t="n">
        <v>2</v>
      </c>
      <c r="C82" s="11" t="n">
        <v>30</v>
      </c>
      <c r="D82" s="11" t="n">
        <v>1</v>
      </c>
      <c r="E82" s="20" t="n">
        <v>0.3</v>
      </c>
      <c r="F82" s="21" t="n">
        <v>0.830031</v>
      </c>
      <c r="G82" s="21" t="n">
        <v>6.484897</v>
      </c>
      <c r="H82" s="21" t="n">
        <v>13.885112</v>
      </c>
      <c r="I82" s="21" t="n">
        <v>0.095772</v>
      </c>
      <c r="J82" s="21" t="n">
        <v>24.08256</v>
      </c>
      <c r="K82" s="21" t="n">
        <v>1.881469</v>
      </c>
    </row>
    <row r="83">
      <c r="A83" s="9" t="inlineStr"/>
      <c r="B83" s="11" t="n">
        <v>2</v>
      </c>
      <c r="C83" s="11" t="n">
        <v>40</v>
      </c>
      <c r="D83" s="11" t="n">
        <v>1</v>
      </c>
      <c r="E83" s="20" t="n">
        <v>1.3634</v>
      </c>
      <c r="F83" s="21" t="n">
        <v>0.543991</v>
      </c>
      <c r="G83" s="21" t="n">
        <v>6.786021</v>
      </c>
      <c r="H83" s="21" t="n">
        <v>27.815633</v>
      </c>
      <c r="I83" s="21" t="n">
        <v>0.11073</v>
      </c>
      <c r="J83" s="21" t="n">
        <v>22.282199</v>
      </c>
      <c r="K83" s="21" t="n">
        <v>1.615073</v>
      </c>
    </row>
    <row r="84">
      <c r="A84" s="9" t="inlineStr"/>
      <c r="B84" s="11" t="n">
        <v>2</v>
      </c>
      <c r="C84" s="11" t="n">
        <v>50</v>
      </c>
      <c r="D84" s="11" t="n">
        <v>15</v>
      </c>
      <c r="E84" s="20" t="n">
        <v>0.3</v>
      </c>
      <c r="F84" s="21" t="n">
        <v>0.741308</v>
      </c>
      <c r="G84" s="21" t="n">
        <v>6.855042</v>
      </c>
      <c r="H84" s="21" t="n">
        <v>18.227702</v>
      </c>
      <c r="I84" s="21" t="n">
        <v>0.125323</v>
      </c>
      <c r="J84" s="21" t="n">
        <v>21.810646</v>
      </c>
      <c r="K84" s="21" t="n">
        <v>1.817051</v>
      </c>
    </row>
    <row r="85">
      <c r="A85" s="9" t="inlineStr"/>
      <c r="B85" s="11" t="n">
        <v>4</v>
      </c>
      <c r="C85" s="11" t="n">
        <v>10</v>
      </c>
      <c r="D85" s="11" t="n">
        <v>25</v>
      </c>
      <c r="E85" s="20" t="n">
        <v>0.3</v>
      </c>
      <c r="F85" s="21" t="n">
        <v>0.731685</v>
      </c>
      <c r="G85" s="21" t="n">
        <v>6.941351</v>
      </c>
      <c r="H85" s="21" t="n">
        <v>18.328458</v>
      </c>
      <c r="I85" s="21" t="n">
        <v>0.132893</v>
      </c>
      <c r="J85" s="21" t="n">
        <v>21.225682</v>
      </c>
      <c r="K85" s="21" t="n">
        <v>1.811611</v>
      </c>
    </row>
    <row r="86">
      <c r="A86" s="9" t="inlineStr"/>
      <c r="B86" s="11" t="n">
        <v>4</v>
      </c>
      <c r="C86" s="11" t="n">
        <v>20</v>
      </c>
      <c r="D86" s="11" t="n">
        <v>1</v>
      </c>
      <c r="E86" s="20" t="n">
        <v>0.3</v>
      </c>
      <c r="F86" s="21" t="n">
        <v>0.830031</v>
      </c>
      <c r="G86" s="21" t="n">
        <v>6.484897</v>
      </c>
      <c r="H86" s="21" t="n">
        <v>13.885112</v>
      </c>
      <c r="I86" s="21" t="n">
        <v>0.095772</v>
      </c>
      <c r="J86" s="21" t="n">
        <v>24.08256</v>
      </c>
      <c r="K86" s="21" t="n">
        <v>1.881469</v>
      </c>
    </row>
    <row r="87">
      <c r="A87" s="9" t="inlineStr"/>
      <c r="B87" s="11" t="n">
        <v>4</v>
      </c>
      <c r="C87" s="11" t="n">
        <v>30</v>
      </c>
      <c r="D87" s="11" t="n">
        <v>1</v>
      </c>
      <c r="E87" s="20" t="n">
        <v>0.3</v>
      </c>
      <c r="F87" s="21" t="n">
        <v>0.830031</v>
      </c>
      <c r="G87" s="21" t="n">
        <v>6.484897</v>
      </c>
      <c r="H87" s="21" t="n">
        <v>13.885112</v>
      </c>
      <c r="I87" s="21" t="n">
        <v>0.095772</v>
      </c>
      <c r="J87" s="21" t="n">
        <v>24.08256</v>
      </c>
      <c r="K87" s="21" t="n">
        <v>1.881469</v>
      </c>
    </row>
    <row r="88">
      <c r="A88" s="9" t="inlineStr"/>
      <c r="B88" s="11" t="n">
        <v>4</v>
      </c>
      <c r="C88" s="11" t="n">
        <v>40</v>
      </c>
      <c r="D88" s="11" t="n">
        <v>1</v>
      </c>
      <c r="E88" s="20" t="n">
        <v>0.3</v>
      </c>
      <c r="F88" s="21" t="n">
        <v>0.830031</v>
      </c>
      <c r="G88" s="21" t="n">
        <v>6.484897</v>
      </c>
      <c r="H88" s="21" t="n">
        <v>13.885112</v>
      </c>
      <c r="I88" s="21" t="n">
        <v>0.095772</v>
      </c>
      <c r="J88" s="21" t="n">
        <v>24.08256</v>
      </c>
      <c r="K88" s="21" t="n">
        <v>1.881469</v>
      </c>
    </row>
    <row r="89">
      <c r="A89" s="9" t="inlineStr"/>
      <c r="B89" s="11" t="n">
        <v>4</v>
      </c>
      <c r="C89" s="11" t="n">
        <v>50</v>
      </c>
      <c r="D89" s="11" t="n">
        <v>1</v>
      </c>
      <c r="E89" s="20" t="n">
        <v>0.3</v>
      </c>
      <c r="F89" s="21" t="n">
        <v>0.830031</v>
      </c>
      <c r="G89" s="21" t="n">
        <v>6.484897</v>
      </c>
      <c r="H89" s="21" t="n">
        <v>13.885112</v>
      </c>
      <c r="I89" s="21" t="n">
        <v>0.095772</v>
      </c>
      <c r="J89" s="21" t="n">
        <v>24.08256</v>
      </c>
      <c r="K89" s="21" t="n">
        <v>1.881469</v>
      </c>
    </row>
    <row r="90">
      <c r="A90" s="9" t="inlineStr"/>
      <c r="B90" s="11" t="n">
        <v>6</v>
      </c>
      <c r="C90" s="11" t="n">
        <v>10</v>
      </c>
      <c r="D90" s="11" t="n">
        <v>1</v>
      </c>
      <c r="E90" s="20" t="n">
        <v>0.3</v>
      </c>
      <c r="F90" s="21" t="n">
        <v>0.830031</v>
      </c>
      <c r="G90" s="21" t="n">
        <v>6.484897</v>
      </c>
      <c r="H90" s="21" t="n">
        <v>13.885112</v>
      </c>
      <c r="I90" s="21" t="n">
        <v>0.095772</v>
      </c>
      <c r="J90" s="21" t="n">
        <v>24.08256</v>
      </c>
      <c r="K90" s="21" t="n">
        <v>1.881469</v>
      </c>
    </row>
    <row r="91">
      <c r="A91" s="9" t="inlineStr"/>
      <c r="B91" s="11" t="n">
        <v>6</v>
      </c>
      <c r="C91" s="11" t="n">
        <v>20</v>
      </c>
      <c r="D91" s="11" t="n">
        <v>1</v>
      </c>
      <c r="E91" s="20" t="n">
        <v>0.3</v>
      </c>
      <c r="F91" s="21" t="n">
        <v>0.830031</v>
      </c>
      <c r="G91" s="21" t="n">
        <v>6.484897</v>
      </c>
      <c r="H91" s="21" t="n">
        <v>13.885112</v>
      </c>
      <c r="I91" s="21" t="n">
        <v>0.095772</v>
      </c>
      <c r="J91" s="21" t="n">
        <v>24.08256</v>
      </c>
      <c r="K91" s="21" t="n">
        <v>1.881469</v>
      </c>
    </row>
    <row r="92">
      <c r="A92" s="9" t="inlineStr"/>
      <c r="B92" s="11" t="n">
        <v>6</v>
      </c>
      <c r="C92" s="11" t="n">
        <v>30</v>
      </c>
      <c r="D92" s="11" t="n">
        <v>2</v>
      </c>
      <c r="E92" s="20" t="n">
        <v>0.3</v>
      </c>
      <c r="F92" s="21" t="n">
        <v>0.810986</v>
      </c>
      <c r="G92" s="21" t="n">
        <v>6.519594</v>
      </c>
      <c r="H92" s="21" t="n">
        <v>15.450467</v>
      </c>
      <c r="I92" s="21" t="n">
        <v>0.09859800000000001</v>
      </c>
      <c r="J92" s="21" t="n">
        <v>23.857905</v>
      </c>
      <c r="K92" s="21" t="n">
        <v>1.881469</v>
      </c>
    </row>
    <row r="93">
      <c r="A93" s="9" t="inlineStr"/>
      <c r="B93" s="11" t="n">
        <v>6</v>
      </c>
      <c r="C93" s="11" t="n">
        <v>40</v>
      </c>
      <c r="D93" s="11" t="n">
        <v>1</v>
      </c>
      <c r="E93" s="20" t="n">
        <v>0.3</v>
      </c>
      <c r="F93" s="21" t="n">
        <v>0.830031</v>
      </c>
      <c r="G93" s="21" t="n">
        <v>6.484897</v>
      </c>
      <c r="H93" s="21" t="n">
        <v>13.885112</v>
      </c>
      <c r="I93" s="21" t="n">
        <v>0.095772</v>
      </c>
      <c r="J93" s="21" t="n">
        <v>24.08256</v>
      </c>
      <c r="K93" s="21" t="n">
        <v>1.881469</v>
      </c>
    </row>
    <row r="94">
      <c r="A94" s="9" t="inlineStr"/>
      <c r="B94" s="11" t="n">
        <v>6</v>
      </c>
      <c r="C94" s="11" t="n">
        <v>50</v>
      </c>
      <c r="D94" s="11" t="n">
        <v>2</v>
      </c>
      <c r="E94" s="20" t="n">
        <v>0.3</v>
      </c>
      <c r="F94" s="21" t="n">
        <v>0.810986</v>
      </c>
      <c r="G94" s="21" t="n">
        <v>6.519594</v>
      </c>
      <c r="H94" s="21" t="n">
        <v>15.450467</v>
      </c>
      <c r="I94" s="21" t="n">
        <v>0.09859800000000001</v>
      </c>
      <c r="J94" s="21" t="n">
        <v>23.857905</v>
      </c>
      <c r="K94" s="21" t="n">
        <v>1.881469</v>
      </c>
    </row>
    <row r="95">
      <c r="A95" s="9" t="inlineStr"/>
      <c r="B95" s="11" t="n">
        <v>8</v>
      </c>
      <c r="C95" s="11" t="n">
        <v>10</v>
      </c>
      <c r="D95" s="11" t="n">
        <v>2</v>
      </c>
      <c r="E95" s="20" t="n">
        <v>0.3</v>
      </c>
      <c r="F95" s="21" t="n">
        <v>0.810986</v>
      </c>
      <c r="G95" s="21" t="n">
        <v>6.519594</v>
      </c>
      <c r="H95" s="21" t="n">
        <v>15.450467</v>
      </c>
      <c r="I95" s="21" t="n">
        <v>0.09859800000000001</v>
      </c>
      <c r="J95" s="21" t="n">
        <v>23.857905</v>
      </c>
      <c r="K95" s="21" t="n">
        <v>1.881469</v>
      </c>
    </row>
    <row r="96">
      <c r="A96" s="9" t="inlineStr"/>
      <c r="B96" s="11" t="n">
        <v>8</v>
      </c>
      <c r="C96" s="11" t="n">
        <v>20</v>
      </c>
      <c r="D96" s="11" t="n">
        <v>1</v>
      </c>
      <c r="E96" s="20" t="n">
        <v>0.3</v>
      </c>
      <c r="F96" s="21" t="n">
        <v>0.830031</v>
      </c>
      <c r="G96" s="21" t="n">
        <v>6.484897</v>
      </c>
      <c r="H96" s="21" t="n">
        <v>13.885112</v>
      </c>
      <c r="I96" s="21" t="n">
        <v>0.095772</v>
      </c>
      <c r="J96" s="21" t="n">
        <v>24.08256</v>
      </c>
      <c r="K96" s="21" t="n">
        <v>1.881469</v>
      </c>
    </row>
    <row r="97">
      <c r="A97" s="9" t="inlineStr"/>
      <c r="B97" s="11" t="n">
        <v>8</v>
      </c>
      <c r="C97" s="11" t="n">
        <v>30</v>
      </c>
      <c r="D97" s="11" t="n">
        <v>1</v>
      </c>
      <c r="E97" s="20" t="n">
        <v>0.3</v>
      </c>
      <c r="F97" s="21" t="n">
        <v>0.830031</v>
      </c>
      <c r="G97" s="21" t="n">
        <v>6.484897</v>
      </c>
      <c r="H97" s="21" t="n">
        <v>13.885112</v>
      </c>
      <c r="I97" s="21" t="n">
        <v>0.095772</v>
      </c>
      <c r="J97" s="21" t="n">
        <v>24.08256</v>
      </c>
      <c r="K97" s="21" t="n">
        <v>1.881469</v>
      </c>
    </row>
    <row r="98">
      <c r="A98" s="9" t="inlineStr"/>
      <c r="B98" s="11" t="n">
        <v>8</v>
      </c>
      <c r="C98" s="11" t="n">
        <v>40</v>
      </c>
      <c r="D98" s="11" t="n">
        <v>1</v>
      </c>
      <c r="E98" s="20" t="n">
        <v>0.3</v>
      </c>
      <c r="F98" s="21" t="n">
        <v>0.830031</v>
      </c>
      <c r="G98" s="21" t="n">
        <v>6.484897</v>
      </c>
      <c r="H98" s="21" t="n">
        <v>13.885112</v>
      </c>
      <c r="I98" s="21" t="n">
        <v>0.095772</v>
      </c>
      <c r="J98" s="21" t="n">
        <v>24.08256</v>
      </c>
      <c r="K98" s="21" t="n">
        <v>1.881469</v>
      </c>
    </row>
    <row r="99">
      <c r="A99" s="9" t="inlineStr"/>
      <c r="B99" s="11" t="n">
        <v>8</v>
      </c>
      <c r="C99" s="11" t="n">
        <v>50</v>
      </c>
      <c r="D99" s="11" t="n">
        <v>1</v>
      </c>
      <c r="E99" s="20" t="n">
        <v>0.3</v>
      </c>
      <c r="F99" s="21" t="n">
        <v>0.830031</v>
      </c>
      <c r="G99" s="21" t="n">
        <v>6.484897</v>
      </c>
      <c r="H99" s="21" t="n">
        <v>13.885112</v>
      </c>
      <c r="I99" s="21" t="n">
        <v>0.095772</v>
      </c>
      <c r="J99" s="21" t="n">
        <v>24.08256</v>
      </c>
      <c r="K99" s="21" t="n">
        <v>1.881469</v>
      </c>
    </row>
    <row r="100">
      <c r="A100" s="9" t="inlineStr"/>
      <c r="B100" s="11" t="n">
        <v>10</v>
      </c>
      <c r="C100" s="11" t="n">
        <v>10</v>
      </c>
      <c r="D100" s="11" t="n">
        <v>1</v>
      </c>
      <c r="E100" s="20" t="n">
        <v>0.3</v>
      </c>
      <c r="F100" s="21" t="n">
        <v>0.830031</v>
      </c>
      <c r="G100" s="21" t="n">
        <v>6.484897</v>
      </c>
      <c r="H100" s="21" t="n">
        <v>13.885112</v>
      </c>
      <c r="I100" s="21" t="n">
        <v>0.095772</v>
      </c>
      <c r="J100" s="21" t="n">
        <v>24.08256</v>
      </c>
      <c r="K100" s="21" t="n">
        <v>1.881469</v>
      </c>
    </row>
    <row r="101">
      <c r="A101" s="9" t="inlineStr"/>
      <c r="B101" s="11" t="n">
        <v>10</v>
      </c>
      <c r="C101" s="11" t="n">
        <v>20</v>
      </c>
      <c r="D101" s="11" t="n">
        <v>1</v>
      </c>
      <c r="E101" s="20" t="n">
        <v>0.3</v>
      </c>
      <c r="F101" s="21" t="n">
        <v>0.830031</v>
      </c>
      <c r="G101" s="21" t="n">
        <v>6.484897</v>
      </c>
      <c r="H101" s="21" t="n">
        <v>13.885112</v>
      </c>
      <c r="I101" s="21" t="n">
        <v>0.095772</v>
      </c>
      <c r="J101" s="21" t="n">
        <v>24.08256</v>
      </c>
      <c r="K101" s="21" t="n">
        <v>1.881469</v>
      </c>
    </row>
    <row r="102">
      <c r="A102" s="9" t="inlineStr"/>
      <c r="B102" s="11" t="n">
        <v>10</v>
      </c>
      <c r="C102" s="11" t="n">
        <v>30</v>
      </c>
      <c r="D102" s="11" t="n">
        <v>1</v>
      </c>
      <c r="E102" s="20" t="n">
        <v>0.3</v>
      </c>
      <c r="F102" s="21" t="n">
        <v>0.830031</v>
      </c>
      <c r="G102" s="21" t="n">
        <v>6.484897</v>
      </c>
      <c r="H102" s="21" t="n">
        <v>13.885112</v>
      </c>
      <c r="I102" s="21" t="n">
        <v>0.095772</v>
      </c>
      <c r="J102" s="21" t="n">
        <v>24.08256</v>
      </c>
      <c r="K102" s="21" t="n">
        <v>1.881469</v>
      </c>
    </row>
    <row r="103">
      <c r="A103" s="9" t="inlineStr"/>
      <c r="B103" s="11" t="n">
        <v>10</v>
      </c>
      <c r="C103" s="11" t="n">
        <v>40</v>
      </c>
      <c r="D103" s="11" t="n">
        <v>1</v>
      </c>
      <c r="E103" s="20" t="n">
        <v>0.3</v>
      </c>
      <c r="F103" s="21" t="n">
        <v>0.830031</v>
      </c>
      <c r="G103" s="21" t="n">
        <v>6.484897</v>
      </c>
      <c r="H103" s="21" t="n">
        <v>13.885112</v>
      </c>
      <c r="I103" s="21" t="n">
        <v>0.095772</v>
      </c>
      <c r="J103" s="21" t="n">
        <v>24.08256</v>
      </c>
      <c r="K103" s="21" t="n">
        <v>1.881469</v>
      </c>
    </row>
    <row r="104">
      <c r="A104" s="9" t="inlineStr"/>
      <c r="B104" s="11" t="n">
        <v>10</v>
      </c>
      <c r="C104" s="11" t="n">
        <v>50</v>
      </c>
      <c r="D104" s="11" t="n">
        <v>1</v>
      </c>
      <c r="E104" s="20" t="n">
        <v>0.3</v>
      </c>
      <c r="F104" s="21" t="n">
        <v>0.830031</v>
      </c>
      <c r="G104" s="21" t="n">
        <v>6.484897</v>
      </c>
      <c r="H104" s="21" t="n">
        <v>13.885112</v>
      </c>
      <c r="I104" s="21" t="n">
        <v>0.095772</v>
      </c>
      <c r="J104" s="21" t="n">
        <v>24.08256</v>
      </c>
      <c r="K104" s="21" t="n">
        <v>1.881469</v>
      </c>
    </row>
    <row r="105">
      <c r="A105" s="8" t="inlineStr">
        <is>
          <t>APC_3_view_2_fk_NL_01_005</t>
        </is>
      </c>
      <c r="B105" s="11" t="n">
        <v>2</v>
      </c>
      <c r="C105" s="11" t="n">
        <v>10</v>
      </c>
      <c r="D105" s="11" t="n">
        <v>1</v>
      </c>
      <c r="E105" s="20" t="n">
        <v>0.9476</v>
      </c>
      <c r="F105" s="21" t="n">
        <v>0.653735</v>
      </c>
      <c r="G105" s="21" t="n">
        <v>6.877314</v>
      </c>
      <c r="H105" s="21" t="n">
        <v>19.093177</v>
      </c>
      <c r="I105" s="21" t="n">
        <v>0.124704</v>
      </c>
      <c r="J105" s="21" t="n">
        <v>20.029986</v>
      </c>
      <c r="K105" s="21" t="n">
        <v>1.713709</v>
      </c>
    </row>
    <row r="106">
      <c r="A106" s="9" t="inlineStr"/>
      <c r="B106" s="13" t="n">
        <v>2</v>
      </c>
      <c r="C106" s="13" t="n">
        <v>20</v>
      </c>
      <c r="D106" s="13" t="n">
        <v>1</v>
      </c>
      <c r="E106" s="22" t="n">
        <v>0.3</v>
      </c>
      <c r="F106" s="23" t="n">
        <v>0.822492</v>
      </c>
      <c r="G106" s="23" t="n">
        <v>6.695157</v>
      </c>
      <c r="H106" s="23" t="n">
        <v>11.014258</v>
      </c>
      <c r="I106" s="23" t="n">
        <v>0.119165</v>
      </c>
      <c r="J106" s="23" t="n">
        <v>20.396367</v>
      </c>
      <c r="K106" s="23" t="n">
        <v>1.86335</v>
      </c>
    </row>
    <row r="107">
      <c r="A107" s="9" t="inlineStr"/>
      <c r="B107" s="11" t="n">
        <v>2</v>
      </c>
      <c r="C107" s="11" t="n">
        <v>30</v>
      </c>
      <c r="D107" s="11" t="n">
        <v>1</v>
      </c>
      <c r="E107" s="20" t="n">
        <v>0.3</v>
      </c>
      <c r="F107" s="21" t="n">
        <v>0.822492</v>
      </c>
      <c r="G107" s="21" t="n">
        <v>6.695157</v>
      </c>
      <c r="H107" s="21" t="n">
        <v>11.014258</v>
      </c>
      <c r="I107" s="21" t="n">
        <v>0.119165</v>
      </c>
      <c r="J107" s="21" t="n">
        <v>20.396367</v>
      </c>
      <c r="K107" s="21" t="n">
        <v>1.86335</v>
      </c>
    </row>
    <row r="108">
      <c r="A108" s="9" t="inlineStr"/>
      <c r="B108" s="11" t="n">
        <v>2</v>
      </c>
      <c r="C108" s="11" t="n">
        <v>40</v>
      </c>
      <c r="D108" s="11" t="n">
        <v>1</v>
      </c>
      <c r="E108" s="20" t="n">
        <v>0.3</v>
      </c>
      <c r="F108" s="21" t="n">
        <v>0.822492</v>
      </c>
      <c r="G108" s="21" t="n">
        <v>6.695157</v>
      </c>
      <c r="H108" s="21" t="n">
        <v>11.014258</v>
      </c>
      <c r="I108" s="21" t="n">
        <v>0.119165</v>
      </c>
      <c r="J108" s="21" t="n">
        <v>20.396367</v>
      </c>
      <c r="K108" s="21" t="n">
        <v>1.86335</v>
      </c>
    </row>
    <row r="109">
      <c r="A109" s="9" t="inlineStr"/>
      <c r="B109" s="11" t="n">
        <v>2</v>
      </c>
      <c r="C109" s="11" t="n">
        <v>50</v>
      </c>
      <c r="D109" s="11" t="n">
        <v>1</v>
      </c>
      <c r="E109" s="20" t="n">
        <v>0.4554</v>
      </c>
      <c r="F109" s="21" t="n">
        <v>0.78857</v>
      </c>
      <c r="G109" s="21" t="n">
        <v>6.738437</v>
      </c>
      <c r="H109" s="21" t="n">
        <v>12.999758</v>
      </c>
      <c r="I109" s="21" t="n">
        <v>0.120358</v>
      </c>
      <c r="J109" s="21" t="n">
        <v>20.329472</v>
      </c>
      <c r="K109" s="21" t="n">
        <v>1.834177</v>
      </c>
    </row>
    <row r="110">
      <c r="A110" s="9" t="inlineStr"/>
      <c r="B110" s="11" t="n">
        <v>4</v>
      </c>
      <c r="C110" s="11" t="n">
        <v>10</v>
      </c>
      <c r="D110" s="11" t="n">
        <v>1</v>
      </c>
      <c r="E110" s="20" t="n">
        <v>0.3</v>
      </c>
      <c r="F110" s="21" t="n">
        <v>0.822492</v>
      </c>
      <c r="G110" s="21" t="n">
        <v>6.695157</v>
      </c>
      <c r="H110" s="21" t="n">
        <v>11.014258</v>
      </c>
      <c r="I110" s="21" t="n">
        <v>0.119165</v>
      </c>
      <c r="J110" s="21" t="n">
        <v>20.396367</v>
      </c>
      <c r="K110" s="21" t="n">
        <v>1.86335</v>
      </c>
    </row>
    <row r="111">
      <c r="A111" s="9" t="inlineStr"/>
      <c r="B111" s="11" t="n">
        <v>4</v>
      </c>
      <c r="C111" s="11" t="n">
        <v>20</v>
      </c>
      <c r="D111" s="11" t="n">
        <v>1</v>
      </c>
      <c r="E111" s="20" t="n">
        <v>0.3</v>
      </c>
      <c r="F111" s="21" t="n">
        <v>0.822492</v>
      </c>
      <c r="G111" s="21" t="n">
        <v>6.695157</v>
      </c>
      <c r="H111" s="21" t="n">
        <v>11.014258</v>
      </c>
      <c r="I111" s="21" t="n">
        <v>0.119165</v>
      </c>
      <c r="J111" s="21" t="n">
        <v>20.396367</v>
      </c>
      <c r="K111" s="21" t="n">
        <v>1.86335</v>
      </c>
    </row>
    <row r="112">
      <c r="A112" s="9" t="inlineStr"/>
      <c r="B112" s="11" t="n">
        <v>4</v>
      </c>
      <c r="C112" s="11" t="n">
        <v>30</v>
      </c>
      <c r="D112" s="11" t="n">
        <v>1</v>
      </c>
      <c r="E112" s="20" t="n">
        <v>0.3</v>
      </c>
      <c r="F112" s="21" t="n">
        <v>0.822492</v>
      </c>
      <c r="G112" s="21" t="n">
        <v>6.695157</v>
      </c>
      <c r="H112" s="21" t="n">
        <v>11.014258</v>
      </c>
      <c r="I112" s="21" t="n">
        <v>0.119165</v>
      </c>
      <c r="J112" s="21" t="n">
        <v>20.396367</v>
      </c>
      <c r="K112" s="21" t="n">
        <v>1.86335</v>
      </c>
    </row>
    <row r="113">
      <c r="A113" s="9" t="inlineStr"/>
      <c r="B113" s="11" t="n">
        <v>4</v>
      </c>
      <c r="C113" s="11" t="n">
        <v>40</v>
      </c>
      <c r="D113" s="11" t="n">
        <v>1</v>
      </c>
      <c r="E113" s="20" t="n">
        <v>0.3</v>
      </c>
      <c r="F113" s="21" t="n">
        <v>0.822492</v>
      </c>
      <c r="G113" s="21" t="n">
        <v>6.695157</v>
      </c>
      <c r="H113" s="21" t="n">
        <v>11.014258</v>
      </c>
      <c r="I113" s="21" t="n">
        <v>0.119165</v>
      </c>
      <c r="J113" s="21" t="n">
        <v>20.396367</v>
      </c>
      <c r="K113" s="21" t="n">
        <v>1.86335</v>
      </c>
    </row>
    <row r="114">
      <c r="A114" s="9" t="inlineStr"/>
      <c r="B114" s="11" t="n">
        <v>4</v>
      </c>
      <c r="C114" s="11" t="n">
        <v>50</v>
      </c>
      <c r="D114" s="11" t="n">
        <v>1</v>
      </c>
      <c r="E114" s="20" t="n">
        <v>0.3</v>
      </c>
      <c r="F114" s="21" t="n">
        <v>0.822492</v>
      </c>
      <c r="G114" s="21" t="n">
        <v>6.695157</v>
      </c>
      <c r="H114" s="21" t="n">
        <v>11.014258</v>
      </c>
      <c r="I114" s="21" t="n">
        <v>0.119165</v>
      </c>
      <c r="J114" s="21" t="n">
        <v>20.396367</v>
      </c>
      <c r="K114" s="21" t="n">
        <v>1.86335</v>
      </c>
    </row>
    <row r="115">
      <c r="A115" s="9" t="inlineStr"/>
      <c r="B115" s="11" t="n">
        <v>6</v>
      </c>
      <c r="C115" s="11" t="n">
        <v>10</v>
      </c>
      <c r="D115" s="11" t="n">
        <v>1</v>
      </c>
      <c r="E115" s="20" t="n">
        <v>0.3</v>
      </c>
      <c r="F115" s="21" t="n">
        <v>0.822492</v>
      </c>
      <c r="G115" s="21" t="n">
        <v>6.695157</v>
      </c>
      <c r="H115" s="21" t="n">
        <v>11.014258</v>
      </c>
      <c r="I115" s="21" t="n">
        <v>0.119165</v>
      </c>
      <c r="J115" s="21" t="n">
        <v>20.396367</v>
      </c>
      <c r="K115" s="21" t="n">
        <v>1.86335</v>
      </c>
    </row>
    <row r="116">
      <c r="A116" s="9" t="inlineStr"/>
      <c r="B116" s="11" t="n">
        <v>6</v>
      </c>
      <c r="C116" s="11" t="n">
        <v>20</v>
      </c>
      <c r="D116" s="11" t="n">
        <v>1</v>
      </c>
      <c r="E116" s="20" t="n">
        <v>0.3</v>
      </c>
      <c r="F116" s="21" t="n">
        <v>0.822492</v>
      </c>
      <c r="G116" s="21" t="n">
        <v>6.695157</v>
      </c>
      <c r="H116" s="21" t="n">
        <v>11.014258</v>
      </c>
      <c r="I116" s="21" t="n">
        <v>0.119165</v>
      </c>
      <c r="J116" s="21" t="n">
        <v>20.396367</v>
      </c>
      <c r="K116" s="21" t="n">
        <v>1.86335</v>
      </c>
    </row>
    <row r="117">
      <c r="A117" s="9" t="inlineStr"/>
      <c r="B117" s="11" t="n">
        <v>6</v>
      </c>
      <c r="C117" s="11" t="n">
        <v>30</v>
      </c>
      <c r="D117" s="11" t="n">
        <v>1</v>
      </c>
      <c r="E117" s="20" t="n">
        <v>0.3</v>
      </c>
      <c r="F117" s="21" t="n">
        <v>0.822492</v>
      </c>
      <c r="G117" s="21" t="n">
        <v>6.695157</v>
      </c>
      <c r="H117" s="21" t="n">
        <v>11.014258</v>
      </c>
      <c r="I117" s="21" t="n">
        <v>0.119165</v>
      </c>
      <c r="J117" s="21" t="n">
        <v>20.396367</v>
      </c>
      <c r="K117" s="21" t="n">
        <v>1.86335</v>
      </c>
    </row>
    <row r="118">
      <c r="A118" s="9" t="inlineStr"/>
      <c r="B118" s="11" t="n">
        <v>6</v>
      </c>
      <c r="C118" s="11" t="n">
        <v>40</v>
      </c>
      <c r="D118" s="11" t="n">
        <v>1</v>
      </c>
      <c r="E118" s="20" t="n">
        <v>0.3</v>
      </c>
      <c r="F118" s="21" t="n">
        <v>0.822492</v>
      </c>
      <c r="G118" s="21" t="n">
        <v>6.695157</v>
      </c>
      <c r="H118" s="21" t="n">
        <v>11.014258</v>
      </c>
      <c r="I118" s="21" t="n">
        <v>0.119165</v>
      </c>
      <c r="J118" s="21" t="n">
        <v>20.396367</v>
      </c>
      <c r="K118" s="21" t="n">
        <v>1.86335</v>
      </c>
    </row>
    <row r="119">
      <c r="A119" s="9" t="inlineStr"/>
      <c r="B119" s="11" t="n">
        <v>6</v>
      </c>
      <c r="C119" s="11" t="n">
        <v>50</v>
      </c>
      <c r="D119" s="11" t="n">
        <v>1</v>
      </c>
      <c r="E119" s="20" t="n">
        <v>0.3</v>
      </c>
      <c r="F119" s="21" t="n">
        <v>0.822492</v>
      </c>
      <c r="G119" s="21" t="n">
        <v>6.695157</v>
      </c>
      <c r="H119" s="21" t="n">
        <v>11.014258</v>
      </c>
      <c r="I119" s="21" t="n">
        <v>0.119165</v>
      </c>
      <c r="J119" s="21" t="n">
        <v>20.396367</v>
      </c>
      <c r="K119" s="21" t="n">
        <v>1.86335</v>
      </c>
    </row>
    <row r="120">
      <c r="A120" s="9" t="inlineStr"/>
      <c r="B120" s="11" t="n">
        <v>8</v>
      </c>
      <c r="C120" s="11" t="n">
        <v>10</v>
      </c>
      <c r="D120" s="11" t="n">
        <v>21</v>
      </c>
      <c r="E120" s="20" t="n">
        <v>0.3</v>
      </c>
      <c r="F120" s="21" t="n">
        <v>0.732829</v>
      </c>
      <c r="G120" s="21" t="n">
        <v>6.911877</v>
      </c>
      <c r="H120" s="21" t="n">
        <v>14.182471</v>
      </c>
      <c r="I120" s="21" t="n">
        <v>0.137485</v>
      </c>
      <c r="J120" s="21" t="n">
        <v>19.572855</v>
      </c>
      <c r="K120" s="21" t="n">
        <v>1.79286</v>
      </c>
    </row>
    <row r="121">
      <c r="A121" s="9" t="inlineStr"/>
      <c r="B121" s="11" t="n">
        <v>8</v>
      </c>
      <c r="C121" s="11" t="n">
        <v>20</v>
      </c>
      <c r="D121" s="11" t="n">
        <v>1</v>
      </c>
      <c r="E121" s="20" t="n">
        <v>0.3</v>
      </c>
      <c r="F121" s="21" t="n">
        <v>0.822492</v>
      </c>
      <c r="G121" s="21" t="n">
        <v>6.695157</v>
      </c>
      <c r="H121" s="21" t="n">
        <v>11.014258</v>
      </c>
      <c r="I121" s="21" t="n">
        <v>0.119165</v>
      </c>
      <c r="J121" s="21" t="n">
        <v>20.396367</v>
      </c>
      <c r="K121" s="21" t="n">
        <v>1.86335</v>
      </c>
    </row>
    <row r="122">
      <c r="A122" s="9" t="inlineStr"/>
      <c r="B122" s="11" t="n">
        <v>8</v>
      </c>
      <c r="C122" s="11" t="n">
        <v>30</v>
      </c>
      <c r="D122" s="11" t="n">
        <v>1</v>
      </c>
      <c r="E122" s="20" t="n">
        <v>0.3</v>
      </c>
      <c r="F122" s="21" t="n">
        <v>0.822492</v>
      </c>
      <c r="G122" s="21" t="n">
        <v>6.695157</v>
      </c>
      <c r="H122" s="21" t="n">
        <v>11.014258</v>
      </c>
      <c r="I122" s="21" t="n">
        <v>0.119165</v>
      </c>
      <c r="J122" s="21" t="n">
        <v>20.396367</v>
      </c>
      <c r="K122" s="21" t="n">
        <v>1.86335</v>
      </c>
    </row>
    <row r="123">
      <c r="A123" s="9" t="inlineStr"/>
      <c r="B123" s="11" t="n">
        <v>8</v>
      </c>
      <c r="C123" s="11" t="n">
        <v>40</v>
      </c>
      <c r="D123" s="11" t="n">
        <v>1</v>
      </c>
      <c r="E123" s="20" t="n">
        <v>0.3</v>
      </c>
      <c r="F123" s="21" t="n">
        <v>0.822492</v>
      </c>
      <c r="G123" s="21" t="n">
        <v>6.695157</v>
      </c>
      <c r="H123" s="21" t="n">
        <v>11.014258</v>
      </c>
      <c r="I123" s="21" t="n">
        <v>0.119165</v>
      </c>
      <c r="J123" s="21" t="n">
        <v>20.396367</v>
      </c>
      <c r="K123" s="21" t="n">
        <v>1.86335</v>
      </c>
    </row>
    <row r="124">
      <c r="A124" s="9" t="inlineStr"/>
      <c r="B124" s="11" t="n">
        <v>8</v>
      </c>
      <c r="C124" s="11" t="n">
        <v>50</v>
      </c>
      <c r="D124" s="11" t="n">
        <v>1</v>
      </c>
      <c r="E124" s="20" t="n">
        <v>0.3</v>
      </c>
      <c r="F124" s="21" t="n">
        <v>0.822492</v>
      </c>
      <c r="G124" s="21" t="n">
        <v>6.695157</v>
      </c>
      <c r="H124" s="21" t="n">
        <v>11.014258</v>
      </c>
      <c r="I124" s="21" t="n">
        <v>0.119165</v>
      </c>
      <c r="J124" s="21" t="n">
        <v>20.396367</v>
      </c>
      <c r="K124" s="21" t="n">
        <v>1.86335</v>
      </c>
    </row>
    <row r="125">
      <c r="A125" s="9" t="inlineStr"/>
      <c r="B125" s="11" t="n">
        <v>10</v>
      </c>
      <c r="C125" s="11" t="n">
        <v>10</v>
      </c>
      <c r="D125" s="11" t="n">
        <v>2</v>
      </c>
      <c r="E125" s="20" t="n">
        <v>0.3</v>
      </c>
      <c r="F125" s="21" t="n">
        <v>0.8034750000000001</v>
      </c>
      <c r="G125" s="21" t="n">
        <v>6.725273</v>
      </c>
      <c r="H125" s="21" t="n">
        <v>12.107688</v>
      </c>
      <c r="I125" s="21" t="n">
        <v>0.1205</v>
      </c>
      <c r="J125" s="21" t="n">
        <v>20.342794</v>
      </c>
      <c r="K125" s="21" t="n">
        <v>1.86335</v>
      </c>
    </row>
    <row r="126">
      <c r="A126" s="9" t="inlineStr"/>
      <c r="B126" s="11" t="n">
        <v>10</v>
      </c>
      <c r="C126" s="11" t="n">
        <v>20</v>
      </c>
      <c r="D126" s="11" t="n">
        <v>25</v>
      </c>
      <c r="E126" s="20" t="n">
        <v>0.3</v>
      </c>
      <c r="F126" s="21" t="n">
        <v>0.73046</v>
      </c>
      <c r="G126" s="21" t="n">
        <v>6.930555</v>
      </c>
      <c r="H126" s="21" t="n">
        <v>14.190984</v>
      </c>
      <c r="I126" s="21" t="n">
        <v>0.138819</v>
      </c>
      <c r="J126" s="21" t="n">
        <v>19.496561</v>
      </c>
      <c r="K126" s="21" t="n">
        <v>1.791885</v>
      </c>
    </row>
    <row r="127">
      <c r="A127" s="9" t="inlineStr"/>
      <c r="B127" s="11" t="n">
        <v>10</v>
      </c>
      <c r="C127" s="11" t="n">
        <v>30</v>
      </c>
      <c r="D127" s="11" t="n">
        <v>1</v>
      </c>
      <c r="E127" s="20" t="n">
        <v>0.3</v>
      </c>
      <c r="F127" s="21" t="n">
        <v>0.822492</v>
      </c>
      <c r="G127" s="21" t="n">
        <v>6.695157</v>
      </c>
      <c r="H127" s="21" t="n">
        <v>11.014258</v>
      </c>
      <c r="I127" s="21" t="n">
        <v>0.119165</v>
      </c>
      <c r="J127" s="21" t="n">
        <v>20.396367</v>
      </c>
      <c r="K127" s="21" t="n">
        <v>1.86335</v>
      </c>
    </row>
    <row r="128">
      <c r="A128" s="9" t="inlineStr"/>
      <c r="B128" s="11" t="n">
        <v>10</v>
      </c>
      <c r="C128" s="11" t="n">
        <v>40</v>
      </c>
      <c r="D128" s="11" t="n">
        <v>1</v>
      </c>
      <c r="E128" s="20" t="n">
        <v>0.3</v>
      </c>
      <c r="F128" s="21" t="n">
        <v>0.822492</v>
      </c>
      <c r="G128" s="21" t="n">
        <v>6.695157</v>
      </c>
      <c r="H128" s="21" t="n">
        <v>11.014258</v>
      </c>
      <c r="I128" s="21" t="n">
        <v>0.119165</v>
      </c>
      <c r="J128" s="21" t="n">
        <v>20.396367</v>
      </c>
      <c r="K128" s="21" t="n">
        <v>1.86335</v>
      </c>
    </row>
    <row r="129">
      <c r="A129" s="9" t="inlineStr"/>
      <c r="B129" s="11" t="n">
        <v>10</v>
      </c>
      <c r="C129" s="11" t="n">
        <v>50</v>
      </c>
      <c r="D129" s="11" t="n">
        <v>1</v>
      </c>
      <c r="E129" s="20" t="n">
        <v>0.3</v>
      </c>
      <c r="F129" s="21" t="n">
        <v>0.822492</v>
      </c>
      <c r="G129" s="21" t="n">
        <v>6.695157</v>
      </c>
      <c r="H129" s="21" t="n">
        <v>11.014258</v>
      </c>
      <c r="I129" s="21" t="n">
        <v>0.119165</v>
      </c>
      <c r="J129" s="21" t="n">
        <v>20.396367</v>
      </c>
      <c r="K129" s="21" t="n">
        <v>1.86335</v>
      </c>
    </row>
    <row r="130">
      <c r="A130" s="8" t="inlineStr">
        <is>
          <t>APC_3_view_3_fk_NL_05_005</t>
        </is>
      </c>
      <c r="B130" s="13" t="n">
        <v>2</v>
      </c>
      <c r="C130" s="13" t="n">
        <v>10</v>
      </c>
      <c r="D130" s="13" t="n">
        <v>1</v>
      </c>
      <c r="E130" s="22" t="n">
        <v>0.3</v>
      </c>
      <c r="F130" s="23" t="n">
        <v>0.798607</v>
      </c>
      <c r="G130" s="23" t="n">
        <v>6.859984</v>
      </c>
      <c r="H130" s="23" t="n">
        <v>9.389474999999999</v>
      </c>
      <c r="I130" s="23" t="n">
        <v>0.122648</v>
      </c>
      <c r="J130" s="23" t="n">
        <v>18.622935</v>
      </c>
      <c r="K130" s="23" t="n">
        <v>1.842335</v>
      </c>
    </row>
    <row r="131">
      <c r="A131" s="9" t="inlineStr"/>
      <c r="B131" s="11" t="n">
        <v>2</v>
      </c>
      <c r="C131" s="11" t="n">
        <v>20</v>
      </c>
      <c r="D131" s="11" t="n">
        <v>4</v>
      </c>
      <c r="E131" s="20" t="n">
        <v>0.3775</v>
      </c>
      <c r="F131" s="21" t="n">
        <v>0.720601</v>
      </c>
      <c r="G131" s="21" t="n">
        <v>6.961096</v>
      </c>
      <c r="H131" s="21" t="n">
        <v>13.165601</v>
      </c>
      <c r="I131" s="21" t="n">
        <v>0.129941</v>
      </c>
      <c r="J131" s="21" t="n">
        <v>18.415777</v>
      </c>
      <c r="K131" s="21" t="n">
        <v>1.790405</v>
      </c>
    </row>
    <row r="132">
      <c r="A132" s="9" t="inlineStr"/>
      <c r="B132" s="11" t="n">
        <v>2</v>
      </c>
      <c r="C132" s="11" t="n">
        <v>30</v>
      </c>
      <c r="D132" s="11" t="n">
        <v>10</v>
      </c>
      <c r="E132" s="20" t="n">
        <v>0.3</v>
      </c>
      <c r="F132" s="21" t="n">
        <v>0.722872</v>
      </c>
      <c r="G132" s="21" t="n">
        <v>6.999508</v>
      </c>
      <c r="H132" s="21" t="n">
        <v>12.558507</v>
      </c>
      <c r="I132" s="21" t="n">
        <v>0.136474</v>
      </c>
      <c r="J132" s="21" t="n">
        <v>18.263212</v>
      </c>
      <c r="K132" s="21" t="n">
        <v>1.782476</v>
      </c>
    </row>
    <row r="133">
      <c r="A133" s="9" t="inlineStr"/>
      <c r="B133" s="11" t="n">
        <v>2</v>
      </c>
      <c r="C133" s="11" t="n">
        <v>40</v>
      </c>
      <c r="D133" s="11" t="n">
        <v>2</v>
      </c>
      <c r="E133" s="20" t="n">
        <v>0.3</v>
      </c>
      <c r="F133" s="21" t="n">
        <v>0.782687</v>
      </c>
      <c r="G133" s="21" t="n">
        <v>6.883304</v>
      </c>
      <c r="H133" s="21" t="n">
        <v>10.574649</v>
      </c>
      <c r="I133" s="21" t="n">
        <v>0.124139</v>
      </c>
      <c r="J133" s="21" t="n">
        <v>18.586155</v>
      </c>
      <c r="K133" s="21" t="n">
        <v>1.842335</v>
      </c>
    </row>
    <row r="134">
      <c r="A134" s="9" t="inlineStr"/>
      <c r="B134" s="11" t="n">
        <v>2</v>
      </c>
      <c r="C134" s="11" t="n">
        <v>50</v>
      </c>
      <c r="D134" s="11" t="n">
        <v>1</v>
      </c>
      <c r="E134" s="20" t="n">
        <v>0.3</v>
      </c>
      <c r="F134" s="21" t="n">
        <v>0.798607</v>
      </c>
      <c r="G134" s="21" t="n">
        <v>6.859984</v>
      </c>
      <c r="H134" s="21" t="n">
        <v>9.389474999999999</v>
      </c>
      <c r="I134" s="21" t="n">
        <v>0.122648</v>
      </c>
      <c r="J134" s="21" t="n">
        <v>18.622935</v>
      </c>
      <c r="K134" s="21" t="n">
        <v>1.842335</v>
      </c>
    </row>
    <row r="135">
      <c r="A135" s="9" t="inlineStr"/>
      <c r="B135" s="11" t="n">
        <v>4</v>
      </c>
      <c r="C135" s="11" t="n">
        <v>10</v>
      </c>
      <c r="D135" s="11" t="n">
        <v>1</v>
      </c>
      <c r="E135" s="20" t="n">
        <v>0.3</v>
      </c>
      <c r="F135" s="21" t="n">
        <v>0.798607</v>
      </c>
      <c r="G135" s="21" t="n">
        <v>6.859984</v>
      </c>
      <c r="H135" s="21" t="n">
        <v>9.389474999999999</v>
      </c>
      <c r="I135" s="21" t="n">
        <v>0.122648</v>
      </c>
      <c r="J135" s="21" t="n">
        <v>18.622935</v>
      </c>
      <c r="K135" s="21" t="n">
        <v>1.842335</v>
      </c>
    </row>
    <row r="136">
      <c r="A136" s="9" t="inlineStr"/>
      <c r="B136" s="11" t="n">
        <v>4</v>
      </c>
      <c r="C136" s="11" t="n">
        <v>20</v>
      </c>
      <c r="D136" s="11" t="n">
        <v>1</v>
      </c>
      <c r="E136" s="20" t="n">
        <v>0.3</v>
      </c>
      <c r="F136" s="21" t="n">
        <v>0.798607</v>
      </c>
      <c r="G136" s="21" t="n">
        <v>6.859984</v>
      </c>
      <c r="H136" s="21" t="n">
        <v>9.389474999999999</v>
      </c>
      <c r="I136" s="21" t="n">
        <v>0.122648</v>
      </c>
      <c r="J136" s="21" t="n">
        <v>18.622935</v>
      </c>
      <c r="K136" s="21" t="n">
        <v>1.842335</v>
      </c>
    </row>
    <row r="137">
      <c r="A137" s="9" t="inlineStr"/>
      <c r="B137" s="11" t="n">
        <v>4</v>
      </c>
      <c r="C137" s="11" t="n">
        <v>30</v>
      </c>
      <c r="D137" s="11" t="n">
        <v>1</v>
      </c>
      <c r="E137" s="20" t="n">
        <v>0.3</v>
      </c>
      <c r="F137" s="21" t="n">
        <v>0.798607</v>
      </c>
      <c r="G137" s="21" t="n">
        <v>6.859984</v>
      </c>
      <c r="H137" s="21" t="n">
        <v>9.389474999999999</v>
      </c>
      <c r="I137" s="21" t="n">
        <v>0.122648</v>
      </c>
      <c r="J137" s="21" t="n">
        <v>18.622935</v>
      </c>
      <c r="K137" s="21" t="n">
        <v>1.842335</v>
      </c>
    </row>
    <row r="138">
      <c r="A138" s="9" t="inlineStr"/>
      <c r="B138" s="11" t="n">
        <v>4</v>
      </c>
      <c r="C138" s="11" t="n">
        <v>40</v>
      </c>
      <c r="D138" s="11" t="n">
        <v>1</v>
      </c>
      <c r="E138" s="20" t="n">
        <v>0.3</v>
      </c>
      <c r="F138" s="21" t="n">
        <v>0.798607</v>
      </c>
      <c r="G138" s="21" t="n">
        <v>6.859984</v>
      </c>
      <c r="H138" s="21" t="n">
        <v>9.389474999999999</v>
      </c>
      <c r="I138" s="21" t="n">
        <v>0.122648</v>
      </c>
      <c r="J138" s="21" t="n">
        <v>18.622935</v>
      </c>
      <c r="K138" s="21" t="n">
        <v>1.842335</v>
      </c>
    </row>
    <row r="139">
      <c r="A139" s="9" t="inlineStr"/>
      <c r="B139" s="11" t="n">
        <v>4</v>
      </c>
      <c r="C139" s="11" t="n">
        <v>50</v>
      </c>
      <c r="D139" s="11" t="n">
        <v>1</v>
      </c>
      <c r="E139" s="20" t="n">
        <v>0.3</v>
      </c>
      <c r="F139" s="21" t="n">
        <v>0.798607</v>
      </c>
      <c r="G139" s="21" t="n">
        <v>6.859984</v>
      </c>
      <c r="H139" s="21" t="n">
        <v>9.389474999999999</v>
      </c>
      <c r="I139" s="21" t="n">
        <v>0.122648</v>
      </c>
      <c r="J139" s="21" t="n">
        <v>18.622935</v>
      </c>
      <c r="K139" s="21" t="n">
        <v>1.842335</v>
      </c>
    </row>
    <row r="140">
      <c r="A140" s="9" t="inlineStr"/>
      <c r="B140" s="11" t="n">
        <v>6</v>
      </c>
      <c r="C140" s="11" t="n">
        <v>10</v>
      </c>
      <c r="D140" s="11" t="n">
        <v>2</v>
      </c>
      <c r="E140" s="20" t="n">
        <v>0.3</v>
      </c>
      <c r="F140" s="21" t="n">
        <v>0.782687</v>
      </c>
      <c r="G140" s="21" t="n">
        <v>6.883304</v>
      </c>
      <c r="H140" s="21" t="n">
        <v>10.574649</v>
      </c>
      <c r="I140" s="21" t="n">
        <v>0.124139</v>
      </c>
      <c r="J140" s="21" t="n">
        <v>18.586155</v>
      </c>
      <c r="K140" s="21" t="n">
        <v>1.842335</v>
      </c>
    </row>
    <row r="141">
      <c r="A141" s="9" t="inlineStr"/>
      <c r="B141" s="11" t="n">
        <v>6</v>
      </c>
      <c r="C141" s="11" t="n">
        <v>20</v>
      </c>
      <c r="D141" s="11" t="n">
        <v>1</v>
      </c>
      <c r="E141" s="20" t="n">
        <v>0.3</v>
      </c>
      <c r="F141" s="21" t="n">
        <v>0.798607</v>
      </c>
      <c r="G141" s="21" t="n">
        <v>6.859984</v>
      </c>
      <c r="H141" s="21" t="n">
        <v>9.389474999999999</v>
      </c>
      <c r="I141" s="21" t="n">
        <v>0.122648</v>
      </c>
      <c r="J141" s="21" t="n">
        <v>18.622935</v>
      </c>
      <c r="K141" s="21" t="n">
        <v>1.842335</v>
      </c>
    </row>
    <row r="142">
      <c r="A142" s="9" t="inlineStr"/>
      <c r="B142" s="11" t="n">
        <v>6</v>
      </c>
      <c r="C142" s="11" t="n">
        <v>30</v>
      </c>
      <c r="D142" s="11" t="n">
        <v>2</v>
      </c>
      <c r="E142" s="20" t="n">
        <v>0.3</v>
      </c>
      <c r="F142" s="21" t="n">
        <v>0.782687</v>
      </c>
      <c r="G142" s="21" t="n">
        <v>6.883304</v>
      </c>
      <c r="H142" s="21" t="n">
        <v>10.574649</v>
      </c>
      <c r="I142" s="21" t="n">
        <v>0.124139</v>
      </c>
      <c r="J142" s="21" t="n">
        <v>18.586155</v>
      </c>
      <c r="K142" s="21" t="n">
        <v>1.842335</v>
      </c>
    </row>
    <row r="143">
      <c r="A143" s="9" t="inlineStr"/>
      <c r="B143" s="11" t="n">
        <v>6</v>
      </c>
      <c r="C143" s="11" t="n">
        <v>40</v>
      </c>
      <c r="D143" s="11" t="n">
        <v>1</v>
      </c>
      <c r="E143" s="20" t="n">
        <v>0.3</v>
      </c>
      <c r="F143" s="21" t="n">
        <v>0.798607</v>
      </c>
      <c r="G143" s="21" t="n">
        <v>6.859984</v>
      </c>
      <c r="H143" s="21" t="n">
        <v>9.389474999999999</v>
      </c>
      <c r="I143" s="21" t="n">
        <v>0.122648</v>
      </c>
      <c r="J143" s="21" t="n">
        <v>18.622935</v>
      </c>
      <c r="K143" s="21" t="n">
        <v>1.842335</v>
      </c>
    </row>
    <row r="144">
      <c r="A144" s="9" t="inlineStr"/>
      <c r="B144" s="11" t="n">
        <v>6</v>
      </c>
      <c r="C144" s="11" t="n">
        <v>50</v>
      </c>
      <c r="D144" s="11" t="n">
        <v>1</v>
      </c>
      <c r="E144" s="20" t="n">
        <v>0.3</v>
      </c>
      <c r="F144" s="21" t="n">
        <v>0.798607</v>
      </c>
      <c r="G144" s="21" t="n">
        <v>6.859984</v>
      </c>
      <c r="H144" s="21" t="n">
        <v>9.389474999999999</v>
      </c>
      <c r="I144" s="21" t="n">
        <v>0.122648</v>
      </c>
      <c r="J144" s="21" t="n">
        <v>18.622935</v>
      </c>
      <c r="K144" s="21" t="n">
        <v>1.842335</v>
      </c>
    </row>
    <row r="145">
      <c r="A145" s="9" t="inlineStr"/>
      <c r="B145" s="11" t="n">
        <v>8</v>
      </c>
      <c r="C145" s="11" t="n">
        <v>10</v>
      </c>
      <c r="D145" s="11" t="n">
        <v>1</v>
      </c>
      <c r="E145" s="20" t="n">
        <v>0.3</v>
      </c>
      <c r="F145" s="21" t="n">
        <v>0.798607</v>
      </c>
      <c r="G145" s="21" t="n">
        <v>6.859984</v>
      </c>
      <c r="H145" s="21" t="n">
        <v>9.389474999999999</v>
      </c>
      <c r="I145" s="21" t="n">
        <v>0.122648</v>
      </c>
      <c r="J145" s="21" t="n">
        <v>18.622935</v>
      </c>
      <c r="K145" s="21" t="n">
        <v>1.842335</v>
      </c>
    </row>
    <row r="146">
      <c r="A146" s="9" t="inlineStr"/>
      <c r="B146" s="11" t="n">
        <v>8</v>
      </c>
      <c r="C146" s="11" t="n">
        <v>20</v>
      </c>
      <c r="D146" s="11" t="n">
        <v>1</v>
      </c>
      <c r="E146" s="20" t="n">
        <v>0.3</v>
      </c>
      <c r="F146" s="21" t="n">
        <v>0.798607</v>
      </c>
      <c r="G146" s="21" t="n">
        <v>6.859984</v>
      </c>
      <c r="H146" s="21" t="n">
        <v>9.389474999999999</v>
      </c>
      <c r="I146" s="21" t="n">
        <v>0.122648</v>
      </c>
      <c r="J146" s="21" t="n">
        <v>18.622935</v>
      </c>
      <c r="K146" s="21" t="n">
        <v>1.842335</v>
      </c>
    </row>
    <row r="147">
      <c r="A147" s="9" t="inlineStr"/>
      <c r="B147" s="11" t="n">
        <v>8</v>
      </c>
      <c r="C147" s="11" t="n">
        <v>30</v>
      </c>
      <c r="D147" s="11" t="n">
        <v>1</v>
      </c>
      <c r="E147" s="20" t="n">
        <v>0.3</v>
      </c>
      <c r="F147" s="21" t="n">
        <v>0.798607</v>
      </c>
      <c r="G147" s="21" t="n">
        <v>6.859984</v>
      </c>
      <c r="H147" s="21" t="n">
        <v>9.389474999999999</v>
      </c>
      <c r="I147" s="21" t="n">
        <v>0.122648</v>
      </c>
      <c r="J147" s="21" t="n">
        <v>18.622935</v>
      </c>
      <c r="K147" s="21" t="n">
        <v>1.842335</v>
      </c>
    </row>
    <row r="148">
      <c r="A148" s="9" t="inlineStr"/>
      <c r="B148" s="11" t="n">
        <v>8</v>
      </c>
      <c r="C148" s="11" t="n">
        <v>40</v>
      </c>
      <c r="D148" s="11" t="n">
        <v>1</v>
      </c>
      <c r="E148" s="20" t="n">
        <v>0.3</v>
      </c>
      <c r="F148" s="21" t="n">
        <v>0.798607</v>
      </c>
      <c r="G148" s="21" t="n">
        <v>6.859984</v>
      </c>
      <c r="H148" s="21" t="n">
        <v>9.389474999999999</v>
      </c>
      <c r="I148" s="21" t="n">
        <v>0.122648</v>
      </c>
      <c r="J148" s="21" t="n">
        <v>18.622935</v>
      </c>
      <c r="K148" s="21" t="n">
        <v>1.842335</v>
      </c>
    </row>
    <row r="149">
      <c r="A149" s="9" t="inlineStr"/>
      <c r="B149" s="11" t="n">
        <v>8</v>
      </c>
      <c r="C149" s="11" t="n">
        <v>50</v>
      </c>
      <c r="D149" s="11" t="n">
        <v>1</v>
      </c>
      <c r="E149" s="20" t="n">
        <v>0.3</v>
      </c>
      <c r="F149" s="21" t="n">
        <v>0.798607</v>
      </c>
      <c r="G149" s="21" t="n">
        <v>6.859984</v>
      </c>
      <c r="H149" s="21" t="n">
        <v>9.389474999999999</v>
      </c>
      <c r="I149" s="21" t="n">
        <v>0.122648</v>
      </c>
      <c r="J149" s="21" t="n">
        <v>18.622935</v>
      </c>
      <c r="K149" s="21" t="n">
        <v>1.842335</v>
      </c>
    </row>
    <row r="150">
      <c r="A150" s="9" t="inlineStr"/>
      <c r="B150" s="11" t="n">
        <v>10</v>
      </c>
      <c r="C150" s="11" t="n">
        <v>10</v>
      </c>
      <c r="D150" s="11" t="n">
        <v>1</v>
      </c>
      <c r="E150" s="20" t="n">
        <v>0.3</v>
      </c>
      <c r="F150" s="21" t="n">
        <v>0.798607</v>
      </c>
      <c r="G150" s="21" t="n">
        <v>6.859984</v>
      </c>
      <c r="H150" s="21" t="n">
        <v>9.389474999999999</v>
      </c>
      <c r="I150" s="21" t="n">
        <v>0.122648</v>
      </c>
      <c r="J150" s="21" t="n">
        <v>18.622935</v>
      </c>
      <c r="K150" s="21" t="n">
        <v>1.842335</v>
      </c>
    </row>
    <row r="151">
      <c r="A151" s="9" t="inlineStr"/>
      <c r="B151" s="11" t="n">
        <v>10</v>
      </c>
      <c r="C151" s="11" t="n">
        <v>20</v>
      </c>
      <c r="D151" s="11" t="n">
        <v>1</v>
      </c>
      <c r="E151" s="20" t="n">
        <v>0.3</v>
      </c>
      <c r="F151" s="21" t="n">
        <v>0.798607</v>
      </c>
      <c r="G151" s="21" t="n">
        <v>6.859984</v>
      </c>
      <c r="H151" s="21" t="n">
        <v>9.389474999999999</v>
      </c>
      <c r="I151" s="21" t="n">
        <v>0.122648</v>
      </c>
      <c r="J151" s="21" t="n">
        <v>18.622935</v>
      </c>
      <c r="K151" s="21" t="n">
        <v>1.842335</v>
      </c>
    </row>
    <row r="152">
      <c r="A152" s="9" t="inlineStr"/>
      <c r="B152" s="11" t="n">
        <v>10</v>
      </c>
      <c r="C152" s="11" t="n">
        <v>30</v>
      </c>
      <c r="D152" s="11" t="n">
        <v>1</v>
      </c>
      <c r="E152" s="20" t="n">
        <v>0.3</v>
      </c>
      <c r="F152" s="21" t="n">
        <v>0.798607</v>
      </c>
      <c r="G152" s="21" t="n">
        <v>6.859984</v>
      </c>
      <c r="H152" s="21" t="n">
        <v>9.389474999999999</v>
      </c>
      <c r="I152" s="21" t="n">
        <v>0.122648</v>
      </c>
      <c r="J152" s="21" t="n">
        <v>18.622935</v>
      </c>
      <c r="K152" s="21" t="n">
        <v>1.842335</v>
      </c>
    </row>
    <row r="153">
      <c r="A153" s="9" t="inlineStr"/>
      <c r="B153" s="11" t="n">
        <v>10</v>
      </c>
      <c r="C153" s="11" t="n">
        <v>40</v>
      </c>
      <c r="D153" s="11" t="n">
        <v>1</v>
      </c>
      <c r="E153" s="20" t="n">
        <v>0.3</v>
      </c>
      <c r="F153" s="21" t="n">
        <v>0.798607</v>
      </c>
      <c r="G153" s="21" t="n">
        <v>6.859984</v>
      </c>
      <c r="H153" s="21" t="n">
        <v>9.389474999999999</v>
      </c>
      <c r="I153" s="21" t="n">
        <v>0.122648</v>
      </c>
      <c r="J153" s="21" t="n">
        <v>18.622935</v>
      </c>
      <c r="K153" s="21" t="n">
        <v>1.842335</v>
      </c>
    </row>
    <row r="154">
      <c r="A154" s="9" t="inlineStr"/>
      <c r="B154" s="11" t="n">
        <v>10</v>
      </c>
      <c r="C154" s="11" t="n">
        <v>50</v>
      </c>
      <c r="D154" s="11" t="n">
        <v>1</v>
      </c>
      <c r="E154" s="20" t="n">
        <v>0.3</v>
      </c>
      <c r="F154" s="21" t="n">
        <v>0.798607</v>
      </c>
      <c r="G154" s="21" t="n">
        <v>6.859984</v>
      </c>
      <c r="H154" s="21" t="n">
        <v>9.389474999999999</v>
      </c>
      <c r="I154" s="21" t="n">
        <v>0.122648</v>
      </c>
      <c r="J154" s="21" t="n">
        <v>18.622935</v>
      </c>
      <c r="K154" s="21" t="n">
        <v>1.842335</v>
      </c>
    </row>
    <row r="155">
      <c r="A155" s="8" t="inlineStr">
        <is>
          <t>Athena_2_men_in_front_of_house_meting003</t>
        </is>
      </c>
      <c r="B155" s="11" t="n">
        <v>2</v>
      </c>
      <c r="C155" s="11" t="n">
        <v>10</v>
      </c>
      <c r="D155" s="11" t="n">
        <v>1</v>
      </c>
      <c r="E155" s="20" t="n">
        <v>1.0443</v>
      </c>
      <c r="F155" s="21" t="n">
        <v>0.629748</v>
      </c>
      <c r="G155" s="21" t="n">
        <v>6.613271</v>
      </c>
      <c r="H155" s="21" t="n">
        <v>17.488366</v>
      </c>
      <c r="I155" s="21" t="n">
        <v>0.101451</v>
      </c>
      <c r="J155" s="21" t="n">
        <v>15.691861</v>
      </c>
      <c r="K155" s="21" t="n">
        <v>1.613329</v>
      </c>
    </row>
    <row r="156">
      <c r="A156" s="9" t="inlineStr"/>
      <c r="B156" s="13" t="n">
        <v>2</v>
      </c>
      <c r="C156" s="13" t="n">
        <v>20</v>
      </c>
      <c r="D156" s="13" t="n">
        <v>1</v>
      </c>
      <c r="E156" s="22" t="n">
        <v>0.3</v>
      </c>
      <c r="F156" s="23" t="n">
        <v>0.749525</v>
      </c>
      <c r="G156" s="23" t="n">
        <v>6.483254</v>
      </c>
      <c r="H156" s="23" t="n">
        <v>9.849314</v>
      </c>
      <c r="I156" s="23" t="n">
        <v>0.094235</v>
      </c>
      <c r="J156" s="23" t="n">
        <v>15.845783</v>
      </c>
      <c r="K156" s="23" t="n">
        <v>1.71839</v>
      </c>
    </row>
    <row r="157">
      <c r="A157" s="9" t="inlineStr"/>
      <c r="B157" s="11" t="n">
        <v>2</v>
      </c>
      <c r="C157" s="11" t="n">
        <v>30</v>
      </c>
      <c r="D157" s="11" t="n">
        <v>1</v>
      </c>
      <c r="E157" s="20" t="n">
        <v>1.008</v>
      </c>
      <c r="F157" s="21" t="n">
        <v>0.636416</v>
      </c>
      <c r="G157" s="21" t="n">
        <v>6.606205</v>
      </c>
      <c r="H157" s="21" t="n">
        <v>17.100399</v>
      </c>
      <c r="I157" s="21" t="n">
        <v>0.10103</v>
      </c>
      <c r="J157" s="21" t="n">
        <v>15.702492</v>
      </c>
      <c r="K157" s="21" t="n">
        <v>1.619224</v>
      </c>
    </row>
    <row r="158">
      <c r="A158" s="9" t="inlineStr"/>
      <c r="B158" s="11" t="n">
        <v>2</v>
      </c>
      <c r="C158" s="11" t="n">
        <v>40</v>
      </c>
      <c r="D158" s="11" t="n">
        <v>25</v>
      </c>
      <c r="E158" s="20" t="n">
        <v>0.3</v>
      </c>
      <c r="F158" s="21" t="n">
        <v>0.666378</v>
      </c>
      <c r="G158" s="21" t="n">
        <v>7.067177</v>
      </c>
      <c r="H158" s="21" t="n">
        <v>15.654343</v>
      </c>
      <c r="I158" s="21" t="n">
        <v>0.14373</v>
      </c>
      <c r="J158" s="21" t="n">
        <v>15.169368</v>
      </c>
      <c r="K158" s="21" t="n">
        <v>1.701469</v>
      </c>
    </row>
    <row r="159">
      <c r="A159" s="9" t="inlineStr"/>
      <c r="B159" s="11" t="n">
        <v>2</v>
      </c>
      <c r="C159" s="11" t="n">
        <v>50</v>
      </c>
      <c r="D159" s="11" t="n">
        <v>25</v>
      </c>
      <c r="E159" s="20" t="n">
        <v>0.3</v>
      </c>
      <c r="F159" s="21" t="n">
        <v>0.666378</v>
      </c>
      <c r="G159" s="21" t="n">
        <v>7.067177</v>
      </c>
      <c r="H159" s="21" t="n">
        <v>15.654343</v>
      </c>
      <c r="I159" s="21" t="n">
        <v>0.14373</v>
      </c>
      <c r="J159" s="21" t="n">
        <v>15.169368</v>
      </c>
      <c r="K159" s="21" t="n">
        <v>1.701469</v>
      </c>
    </row>
    <row r="160">
      <c r="A160" s="9" t="inlineStr"/>
      <c r="B160" s="11" t="n">
        <v>4</v>
      </c>
      <c r="C160" s="11" t="n">
        <v>10</v>
      </c>
      <c r="D160" s="11" t="n">
        <v>25</v>
      </c>
      <c r="E160" s="20" t="n">
        <v>0.3</v>
      </c>
      <c r="F160" s="21" t="n">
        <v>0.666378</v>
      </c>
      <c r="G160" s="21" t="n">
        <v>7.067177</v>
      </c>
      <c r="H160" s="21" t="n">
        <v>15.654343</v>
      </c>
      <c r="I160" s="21" t="n">
        <v>0.14373</v>
      </c>
      <c r="J160" s="21" t="n">
        <v>15.169368</v>
      </c>
      <c r="K160" s="21" t="n">
        <v>1.701469</v>
      </c>
    </row>
    <row r="161">
      <c r="A161" s="9" t="inlineStr"/>
      <c r="B161" s="11" t="n">
        <v>4</v>
      </c>
      <c r="C161" s="11" t="n">
        <v>20</v>
      </c>
      <c r="D161" s="11" t="n">
        <v>1</v>
      </c>
      <c r="E161" s="20" t="n">
        <v>0.3</v>
      </c>
      <c r="F161" s="21" t="n">
        <v>0.749525</v>
      </c>
      <c r="G161" s="21" t="n">
        <v>6.483254</v>
      </c>
      <c r="H161" s="21" t="n">
        <v>9.849314</v>
      </c>
      <c r="I161" s="21" t="n">
        <v>0.094235</v>
      </c>
      <c r="J161" s="21" t="n">
        <v>15.845783</v>
      </c>
      <c r="K161" s="21" t="n">
        <v>1.71839</v>
      </c>
    </row>
    <row r="162">
      <c r="A162" s="9" t="inlineStr"/>
      <c r="B162" s="11" t="n">
        <v>4</v>
      </c>
      <c r="C162" s="11" t="n">
        <v>30</v>
      </c>
      <c r="D162" s="11" t="n">
        <v>25</v>
      </c>
      <c r="E162" s="20" t="n">
        <v>0.3</v>
      </c>
      <c r="F162" s="21" t="n">
        <v>0.666378</v>
      </c>
      <c r="G162" s="21" t="n">
        <v>7.067177</v>
      </c>
      <c r="H162" s="21" t="n">
        <v>15.654343</v>
      </c>
      <c r="I162" s="21" t="n">
        <v>0.14373</v>
      </c>
      <c r="J162" s="21" t="n">
        <v>15.169368</v>
      </c>
      <c r="K162" s="21" t="n">
        <v>1.701469</v>
      </c>
    </row>
    <row r="163">
      <c r="A163" s="9" t="inlineStr"/>
      <c r="B163" s="11" t="n">
        <v>4</v>
      </c>
      <c r="C163" s="11" t="n">
        <v>40</v>
      </c>
      <c r="D163" s="11" t="n">
        <v>1</v>
      </c>
      <c r="E163" s="20" t="n">
        <v>0.3</v>
      </c>
      <c r="F163" s="21" t="n">
        <v>0.749525</v>
      </c>
      <c r="G163" s="21" t="n">
        <v>6.483254</v>
      </c>
      <c r="H163" s="21" t="n">
        <v>9.849314</v>
      </c>
      <c r="I163" s="21" t="n">
        <v>0.094235</v>
      </c>
      <c r="J163" s="21" t="n">
        <v>15.845783</v>
      </c>
      <c r="K163" s="21" t="n">
        <v>1.71839</v>
      </c>
    </row>
    <row r="164">
      <c r="A164" s="9" t="inlineStr"/>
      <c r="B164" s="11" t="n">
        <v>4</v>
      </c>
      <c r="C164" s="11" t="n">
        <v>50</v>
      </c>
      <c r="D164" s="11" t="n">
        <v>1</v>
      </c>
      <c r="E164" s="20" t="n">
        <v>0.3</v>
      </c>
      <c r="F164" s="21" t="n">
        <v>0.749525</v>
      </c>
      <c r="G164" s="21" t="n">
        <v>6.483254</v>
      </c>
      <c r="H164" s="21" t="n">
        <v>9.849314</v>
      </c>
      <c r="I164" s="21" t="n">
        <v>0.094235</v>
      </c>
      <c r="J164" s="21" t="n">
        <v>15.845783</v>
      </c>
      <c r="K164" s="21" t="n">
        <v>1.71839</v>
      </c>
    </row>
    <row r="165">
      <c r="A165" s="9" t="inlineStr"/>
      <c r="B165" s="11" t="n">
        <v>6</v>
      </c>
      <c r="C165" s="11" t="n">
        <v>10</v>
      </c>
      <c r="D165" s="11" t="n">
        <v>25</v>
      </c>
      <c r="E165" s="20" t="n">
        <v>0.3</v>
      </c>
      <c r="F165" s="21" t="n">
        <v>0.666378</v>
      </c>
      <c r="G165" s="21" t="n">
        <v>7.067177</v>
      </c>
      <c r="H165" s="21" t="n">
        <v>15.654343</v>
      </c>
      <c r="I165" s="21" t="n">
        <v>0.14373</v>
      </c>
      <c r="J165" s="21" t="n">
        <v>15.169368</v>
      </c>
      <c r="K165" s="21" t="n">
        <v>1.701469</v>
      </c>
    </row>
    <row r="166">
      <c r="A166" s="9" t="inlineStr"/>
      <c r="B166" s="11" t="n">
        <v>6</v>
      </c>
      <c r="C166" s="11" t="n">
        <v>20</v>
      </c>
      <c r="D166" s="11" t="n">
        <v>1</v>
      </c>
      <c r="E166" s="20" t="n">
        <v>0.3</v>
      </c>
      <c r="F166" s="21" t="n">
        <v>0.749525</v>
      </c>
      <c r="G166" s="21" t="n">
        <v>6.483254</v>
      </c>
      <c r="H166" s="21" t="n">
        <v>9.849314</v>
      </c>
      <c r="I166" s="21" t="n">
        <v>0.094235</v>
      </c>
      <c r="J166" s="21" t="n">
        <v>15.845783</v>
      </c>
      <c r="K166" s="21" t="n">
        <v>1.71839</v>
      </c>
    </row>
    <row r="167">
      <c r="A167" s="9" t="inlineStr"/>
      <c r="B167" s="11" t="n">
        <v>6</v>
      </c>
      <c r="C167" s="11" t="n">
        <v>30</v>
      </c>
      <c r="D167" s="11" t="n">
        <v>25</v>
      </c>
      <c r="E167" s="20" t="n">
        <v>0.3</v>
      </c>
      <c r="F167" s="21" t="n">
        <v>0.666378</v>
      </c>
      <c r="G167" s="21" t="n">
        <v>7.067177</v>
      </c>
      <c r="H167" s="21" t="n">
        <v>15.654343</v>
      </c>
      <c r="I167" s="21" t="n">
        <v>0.14373</v>
      </c>
      <c r="J167" s="21" t="n">
        <v>15.169368</v>
      </c>
      <c r="K167" s="21" t="n">
        <v>1.701469</v>
      </c>
    </row>
    <row r="168">
      <c r="A168" s="9" t="inlineStr"/>
      <c r="B168" s="11" t="n">
        <v>6</v>
      </c>
      <c r="C168" s="11" t="n">
        <v>40</v>
      </c>
      <c r="D168" s="11" t="n">
        <v>1</v>
      </c>
      <c r="E168" s="20" t="n">
        <v>0.3</v>
      </c>
      <c r="F168" s="21" t="n">
        <v>0.749525</v>
      </c>
      <c r="G168" s="21" t="n">
        <v>6.483254</v>
      </c>
      <c r="H168" s="21" t="n">
        <v>9.849314</v>
      </c>
      <c r="I168" s="21" t="n">
        <v>0.094235</v>
      </c>
      <c r="J168" s="21" t="n">
        <v>15.845783</v>
      </c>
      <c r="K168" s="21" t="n">
        <v>1.71839</v>
      </c>
    </row>
    <row r="169">
      <c r="A169" s="9" t="inlineStr"/>
      <c r="B169" s="11" t="n">
        <v>6</v>
      </c>
      <c r="C169" s="11" t="n">
        <v>50</v>
      </c>
      <c r="D169" s="11" t="n">
        <v>25</v>
      </c>
      <c r="E169" s="20" t="n">
        <v>0.3</v>
      </c>
      <c r="F169" s="21" t="n">
        <v>0.666378</v>
      </c>
      <c r="G169" s="21" t="n">
        <v>7.067177</v>
      </c>
      <c r="H169" s="21" t="n">
        <v>15.654343</v>
      </c>
      <c r="I169" s="21" t="n">
        <v>0.14373</v>
      </c>
      <c r="J169" s="21" t="n">
        <v>15.169368</v>
      </c>
      <c r="K169" s="21" t="n">
        <v>1.701469</v>
      </c>
    </row>
    <row r="170">
      <c r="A170" s="9" t="inlineStr"/>
      <c r="B170" s="11" t="n">
        <v>8</v>
      </c>
      <c r="C170" s="11" t="n">
        <v>10</v>
      </c>
      <c r="D170" s="11" t="n">
        <v>2</v>
      </c>
      <c r="E170" s="20" t="n">
        <v>0.3</v>
      </c>
      <c r="F170" s="21" t="n">
        <v>0.732834</v>
      </c>
      <c r="G170" s="21" t="n">
        <v>6.538139</v>
      </c>
      <c r="H170" s="21" t="n">
        <v>11.807841</v>
      </c>
      <c r="I170" s="21" t="n">
        <v>0.09893399999999999</v>
      </c>
      <c r="J170" s="21" t="n">
        <v>15.794618</v>
      </c>
      <c r="K170" s="21" t="n">
        <v>1.71839</v>
      </c>
    </row>
    <row r="171">
      <c r="A171" s="9" t="inlineStr"/>
      <c r="B171" s="11" t="n">
        <v>8</v>
      </c>
      <c r="C171" s="11" t="n">
        <v>20</v>
      </c>
      <c r="D171" s="11" t="n">
        <v>25</v>
      </c>
      <c r="E171" s="20" t="n">
        <v>0.3</v>
      </c>
      <c r="F171" s="21" t="n">
        <v>0.666378</v>
      </c>
      <c r="G171" s="21" t="n">
        <v>7.067177</v>
      </c>
      <c r="H171" s="21" t="n">
        <v>15.654343</v>
      </c>
      <c r="I171" s="21" t="n">
        <v>0.14373</v>
      </c>
      <c r="J171" s="21" t="n">
        <v>15.169368</v>
      </c>
      <c r="K171" s="21" t="n">
        <v>1.701469</v>
      </c>
    </row>
    <row r="172">
      <c r="A172" s="9" t="inlineStr"/>
      <c r="B172" s="11" t="n">
        <v>8</v>
      </c>
      <c r="C172" s="11" t="n">
        <v>30</v>
      </c>
      <c r="D172" s="11" t="n">
        <v>1</v>
      </c>
      <c r="E172" s="20" t="n">
        <v>0.3</v>
      </c>
      <c r="F172" s="21" t="n">
        <v>0.749525</v>
      </c>
      <c r="G172" s="21" t="n">
        <v>6.483254</v>
      </c>
      <c r="H172" s="21" t="n">
        <v>9.849314</v>
      </c>
      <c r="I172" s="21" t="n">
        <v>0.094235</v>
      </c>
      <c r="J172" s="21" t="n">
        <v>15.845783</v>
      </c>
      <c r="K172" s="21" t="n">
        <v>1.71839</v>
      </c>
    </row>
    <row r="173">
      <c r="A173" s="9" t="inlineStr"/>
      <c r="B173" s="11" t="n">
        <v>8</v>
      </c>
      <c r="C173" s="11" t="n">
        <v>40</v>
      </c>
      <c r="D173" s="11" t="n">
        <v>25</v>
      </c>
      <c r="E173" s="20" t="n">
        <v>0.3</v>
      </c>
      <c r="F173" s="21" t="n">
        <v>0.666378</v>
      </c>
      <c r="G173" s="21" t="n">
        <v>7.067177</v>
      </c>
      <c r="H173" s="21" t="n">
        <v>15.654343</v>
      </c>
      <c r="I173" s="21" t="n">
        <v>0.14373</v>
      </c>
      <c r="J173" s="21" t="n">
        <v>15.169368</v>
      </c>
      <c r="K173" s="21" t="n">
        <v>1.701469</v>
      </c>
    </row>
    <row r="174">
      <c r="A174" s="9" t="inlineStr"/>
      <c r="B174" s="11" t="n">
        <v>8</v>
      </c>
      <c r="C174" s="11" t="n">
        <v>50</v>
      </c>
      <c r="D174" s="11" t="n">
        <v>25</v>
      </c>
      <c r="E174" s="20" t="n">
        <v>0.3</v>
      </c>
      <c r="F174" s="21" t="n">
        <v>0.666378</v>
      </c>
      <c r="G174" s="21" t="n">
        <v>7.067177</v>
      </c>
      <c r="H174" s="21" t="n">
        <v>15.654343</v>
      </c>
      <c r="I174" s="21" t="n">
        <v>0.14373</v>
      </c>
      <c r="J174" s="21" t="n">
        <v>15.169368</v>
      </c>
      <c r="K174" s="21" t="n">
        <v>1.701469</v>
      </c>
    </row>
    <row r="175">
      <c r="A175" s="9" t="inlineStr"/>
      <c r="B175" s="11" t="n">
        <v>10</v>
      </c>
      <c r="C175" s="11" t="n">
        <v>10</v>
      </c>
      <c r="D175" s="11" t="n">
        <v>25</v>
      </c>
      <c r="E175" s="20" t="n">
        <v>0.3</v>
      </c>
      <c r="F175" s="21" t="n">
        <v>0.666378</v>
      </c>
      <c r="G175" s="21" t="n">
        <v>7.067177</v>
      </c>
      <c r="H175" s="21" t="n">
        <v>15.654343</v>
      </c>
      <c r="I175" s="21" t="n">
        <v>0.14373</v>
      </c>
      <c r="J175" s="21" t="n">
        <v>15.169368</v>
      </c>
      <c r="K175" s="21" t="n">
        <v>1.701469</v>
      </c>
    </row>
    <row r="176">
      <c r="A176" s="9" t="inlineStr"/>
      <c r="B176" s="11" t="n">
        <v>10</v>
      </c>
      <c r="C176" s="11" t="n">
        <v>20</v>
      </c>
      <c r="D176" s="11" t="n">
        <v>25</v>
      </c>
      <c r="E176" s="20" t="n">
        <v>0.3</v>
      </c>
      <c r="F176" s="21" t="n">
        <v>0.666378</v>
      </c>
      <c r="G176" s="21" t="n">
        <v>7.067177</v>
      </c>
      <c r="H176" s="21" t="n">
        <v>15.654343</v>
      </c>
      <c r="I176" s="21" t="n">
        <v>0.14373</v>
      </c>
      <c r="J176" s="21" t="n">
        <v>15.169368</v>
      </c>
      <c r="K176" s="21" t="n">
        <v>1.701469</v>
      </c>
    </row>
    <row r="177">
      <c r="A177" s="9" t="inlineStr"/>
      <c r="B177" s="11" t="n">
        <v>10</v>
      </c>
      <c r="C177" s="11" t="n">
        <v>30</v>
      </c>
      <c r="D177" s="11" t="n">
        <v>25</v>
      </c>
      <c r="E177" s="20" t="n">
        <v>0.3</v>
      </c>
      <c r="F177" s="21" t="n">
        <v>0.666378</v>
      </c>
      <c r="G177" s="21" t="n">
        <v>7.067177</v>
      </c>
      <c r="H177" s="21" t="n">
        <v>15.654343</v>
      </c>
      <c r="I177" s="21" t="n">
        <v>0.14373</v>
      </c>
      <c r="J177" s="21" t="n">
        <v>15.169368</v>
      </c>
      <c r="K177" s="21" t="n">
        <v>1.701469</v>
      </c>
    </row>
    <row r="178">
      <c r="A178" s="9" t="inlineStr"/>
      <c r="B178" s="11" t="n">
        <v>10</v>
      </c>
      <c r="C178" s="11" t="n">
        <v>40</v>
      </c>
      <c r="D178" s="11" t="n">
        <v>25</v>
      </c>
      <c r="E178" s="20" t="n">
        <v>0.3</v>
      </c>
      <c r="F178" s="21" t="n">
        <v>0.666378</v>
      </c>
      <c r="G178" s="21" t="n">
        <v>7.067177</v>
      </c>
      <c r="H178" s="21" t="n">
        <v>15.654343</v>
      </c>
      <c r="I178" s="21" t="n">
        <v>0.14373</v>
      </c>
      <c r="J178" s="21" t="n">
        <v>15.169368</v>
      </c>
      <c r="K178" s="21" t="n">
        <v>1.701469</v>
      </c>
    </row>
    <row r="179">
      <c r="A179" s="9" t="inlineStr"/>
      <c r="B179" s="11" t="n">
        <v>10</v>
      </c>
      <c r="C179" s="11" t="n">
        <v>50</v>
      </c>
      <c r="D179" s="11" t="n">
        <v>25</v>
      </c>
      <c r="E179" s="20" t="n">
        <v>0.3</v>
      </c>
      <c r="F179" s="21" t="n">
        <v>0.666378</v>
      </c>
      <c r="G179" s="21" t="n">
        <v>7.067177</v>
      </c>
      <c r="H179" s="21" t="n">
        <v>15.654343</v>
      </c>
      <c r="I179" s="21" t="n">
        <v>0.14373</v>
      </c>
      <c r="J179" s="21" t="n">
        <v>15.169368</v>
      </c>
      <c r="K179" s="21" t="n">
        <v>1.701469</v>
      </c>
    </row>
    <row r="180">
      <c r="A180" s="8" t="inlineStr">
        <is>
          <t>Athena_APC_4_fennek01_005</t>
        </is>
      </c>
      <c r="B180" s="11" t="n">
        <v>2</v>
      </c>
      <c r="C180" s="11" t="n">
        <v>10</v>
      </c>
      <c r="D180" s="11" t="n">
        <v>25</v>
      </c>
      <c r="E180" s="20" t="n">
        <v>0.3</v>
      </c>
      <c r="F180" s="21" t="n">
        <v>0.694497</v>
      </c>
      <c r="G180" s="21" t="n">
        <v>6.355955</v>
      </c>
      <c r="H180" s="21" t="n">
        <v>13.343127</v>
      </c>
      <c r="I180" s="21" t="n">
        <v>0.079941</v>
      </c>
      <c r="J180" s="21" t="n">
        <v>21.653528</v>
      </c>
      <c r="K180" s="21" t="n">
        <v>1.705527</v>
      </c>
    </row>
    <row r="181">
      <c r="A181" s="9" t="inlineStr"/>
      <c r="B181" s="11" t="n">
        <v>2</v>
      </c>
      <c r="C181" s="11" t="n">
        <v>20</v>
      </c>
      <c r="D181" s="11" t="n">
        <v>23</v>
      </c>
      <c r="E181" s="20" t="n">
        <v>0.3</v>
      </c>
      <c r="F181" s="21" t="n">
        <v>0.6953510000000001</v>
      </c>
      <c r="G181" s="21" t="n">
        <v>6.341951</v>
      </c>
      <c r="H181" s="21" t="n">
        <v>13.33683</v>
      </c>
      <c r="I181" s="21" t="n">
        <v>0.079265</v>
      </c>
      <c r="J181" s="21" t="n">
        <v>21.689084</v>
      </c>
      <c r="K181" s="21" t="n">
        <v>1.704986</v>
      </c>
    </row>
    <row r="182">
      <c r="A182" s="9" t="inlineStr"/>
      <c r="B182" s="11" t="n">
        <v>2</v>
      </c>
      <c r="C182" s="11" t="n">
        <v>30</v>
      </c>
      <c r="D182" s="11" t="n">
        <v>25</v>
      </c>
      <c r="E182" s="20" t="n">
        <v>0.3</v>
      </c>
      <c r="F182" s="21" t="n">
        <v>0.694497</v>
      </c>
      <c r="G182" s="21" t="n">
        <v>6.355955</v>
      </c>
      <c r="H182" s="21" t="n">
        <v>13.343127</v>
      </c>
      <c r="I182" s="21" t="n">
        <v>0.079941</v>
      </c>
      <c r="J182" s="21" t="n">
        <v>21.653528</v>
      </c>
      <c r="K182" s="21" t="n">
        <v>1.705527</v>
      </c>
    </row>
    <row r="183">
      <c r="A183" s="9" t="inlineStr"/>
      <c r="B183" s="11" t="n">
        <v>2</v>
      </c>
      <c r="C183" s="11" t="n">
        <v>40</v>
      </c>
      <c r="D183" s="11" t="n">
        <v>25</v>
      </c>
      <c r="E183" s="20" t="n">
        <v>0.3</v>
      </c>
      <c r="F183" s="21" t="n">
        <v>0.694497</v>
      </c>
      <c r="G183" s="21" t="n">
        <v>6.355955</v>
      </c>
      <c r="H183" s="21" t="n">
        <v>13.343127</v>
      </c>
      <c r="I183" s="21" t="n">
        <v>0.079941</v>
      </c>
      <c r="J183" s="21" t="n">
        <v>21.653528</v>
      </c>
      <c r="K183" s="21" t="n">
        <v>1.705527</v>
      </c>
    </row>
    <row r="184">
      <c r="A184" s="9" t="inlineStr"/>
      <c r="B184" s="13" t="n">
        <v>2</v>
      </c>
      <c r="C184" s="13" t="n">
        <v>50</v>
      </c>
      <c r="D184" s="13" t="n">
        <v>1</v>
      </c>
      <c r="E184" s="22" t="n">
        <v>0.3</v>
      </c>
      <c r="F184" s="23" t="n">
        <v>0.780284</v>
      </c>
      <c r="G184" s="23" t="n">
        <v>5.567366</v>
      </c>
      <c r="H184" s="23" t="n">
        <v>9.692819</v>
      </c>
      <c r="I184" s="23" t="n">
        <v>0.045981</v>
      </c>
      <c r="J184" s="23" t="n">
        <v>22.945782</v>
      </c>
      <c r="K184" s="23" t="n">
        <v>1.705663</v>
      </c>
    </row>
    <row r="185">
      <c r="A185" s="9" t="inlineStr"/>
      <c r="B185" s="11" t="n">
        <v>4</v>
      </c>
      <c r="C185" s="11" t="n">
        <v>10</v>
      </c>
      <c r="D185" s="11" t="n">
        <v>25</v>
      </c>
      <c r="E185" s="20" t="n">
        <v>0.3</v>
      </c>
      <c r="F185" s="21" t="n">
        <v>0.694497</v>
      </c>
      <c r="G185" s="21" t="n">
        <v>6.355955</v>
      </c>
      <c r="H185" s="21" t="n">
        <v>13.343127</v>
      </c>
      <c r="I185" s="21" t="n">
        <v>0.079941</v>
      </c>
      <c r="J185" s="21" t="n">
        <v>21.653528</v>
      </c>
      <c r="K185" s="21" t="n">
        <v>1.705527</v>
      </c>
    </row>
    <row r="186">
      <c r="A186" s="9" t="inlineStr"/>
      <c r="B186" s="11" t="n">
        <v>4</v>
      </c>
      <c r="C186" s="11" t="n">
        <v>20</v>
      </c>
      <c r="D186" s="11" t="n">
        <v>25</v>
      </c>
      <c r="E186" s="20" t="n">
        <v>0.3</v>
      </c>
      <c r="F186" s="21" t="n">
        <v>0.694497</v>
      </c>
      <c r="G186" s="21" t="n">
        <v>6.355955</v>
      </c>
      <c r="H186" s="21" t="n">
        <v>13.343127</v>
      </c>
      <c r="I186" s="21" t="n">
        <v>0.079941</v>
      </c>
      <c r="J186" s="21" t="n">
        <v>21.653528</v>
      </c>
      <c r="K186" s="21" t="n">
        <v>1.705527</v>
      </c>
    </row>
    <row r="187">
      <c r="A187" s="9" t="inlineStr"/>
      <c r="B187" s="11" t="n">
        <v>4</v>
      </c>
      <c r="C187" s="11" t="n">
        <v>30</v>
      </c>
      <c r="D187" s="11" t="n">
        <v>25</v>
      </c>
      <c r="E187" s="20" t="n">
        <v>0.3</v>
      </c>
      <c r="F187" s="21" t="n">
        <v>0.694497</v>
      </c>
      <c r="G187" s="21" t="n">
        <v>6.355955</v>
      </c>
      <c r="H187" s="21" t="n">
        <v>13.343127</v>
      </c>
      <c r="I187" s="21" t="n">
        <v>0.079941</v>
      </c>
      <c r="J187" s="21" t="n">
        <v>21.653528</v>
      </c>
      <c r="K187" s="21" t="n">
        <v>1.705527</v>
      </c>
    </row>
    <row r="188">
      <c r="A188" s="9" t="inlineStr"/>
      <c r="B188" s="11" t="n">
        <v>4</v>
      </c>
      <c r="C188" s="11" t="n">
        <v>40</v>
      </c>
      <c r="D188" s="11" t="n">
        <v>1</v>
      </c>
      <c r="E188" s="20" t="n">
        <v>0.3</v>
      </c>
      <c r="F188" s="21" t="n">
        <v>0.780284</v>
      </c>
      <c r="G188" s="21" t="n">
        <v>5.567366</v>
      </c>
      <c r="H188" s="21" t="n">
        <v>9.692819</v>
      </c>
      <c r="I188" s="21" t="n">
        <v>0.045981</v>
      </c>
      <c r="J188" s="21" t="n">
        <v>22.945782</v>
      </c>
      <c r="K188" s="21" t="n">
        <v>1.705663</v>
      </c>
    </row>
    <row r="189">
      <c r="A189" s="9" t="inlineStr"/>
      <c r="B189" s="11" t="n">
        <v>4</v>
      </c>
      <c r="C189" s="11" t="n">
        <v>50</v>
      </c>
      <c r="D189" s="11" t="n">
        <v>1</v>
      </c>
      <c r="E189" s="20" t="n">
        <v>0.3</v>
      </c>
      <c r="F189" s="21" t="n">
        <v>0.780284</v>
      </c>
      <c r="G189" s="21" t="n">
        <v>5.567366</v>
      </c>
      <c r="H189" s="21" t="n">
        <v>9.692819</v>
      </c>
      <c r="I189" s="21" t="n">
        <v>0.045981</v>
      </c>
      <c r="J189" s="21" t="n">
        <v>22.945782</v>
      </c>
      <c r="K189" s="21" t="n">
        <v>1.705663</v>
      </c>
    </row>
    <row r="190">
      <c r="A190" s="9" t="inlineStr"/>
      <c r="B190" s="11" t="n">
        <v>6</v>
      </c>
      <c r="C190" s="11" t="n">
        <v>10</v>
      </c>
      <c r="D190" s="11" t="n">
        <v>25</v>
      </c>
      <c r="E190" s="20" t="n">
        <v>0.3</v>
      </c>
      <c r="F190" s="21" t="n">
        <v>0.694497</v>
      </c>
      <c r="G190" s="21" t="n">
        <v>6.355955</v>
      </c>
      <c r="H190" s="21" t="n">
        <v>13.343127</v>
      </c>
      <c r="I190" s="21" t="n">
        <v>0.079941</v>
      </c>
      <c r="J190" s="21" t="n">
        <v>21.653528</v>
      </c>
      <c r="K190" s="21" t="n">
        <v>1.705527</v>
      </c>
    </row>
    <row r="191">
      <c r="A191" s="9" t="inlineStr"/>
      <c r="B191" s="11" t="n">
        <v>6</v>
      </c>
      <c r="C191" s="11" t="n">
        <v>20</v>
      </c>
      <c r="D191" s="11" t="n">
        <v>1</v>
      </c>
      <c r="E191" s="20" t="n">
        <v>0.3</v>
      </c>
      <c r="F191" s="21" t="n">
        <v>0.780284</v>
      </c>
      <c r="G191" s="21" t="n">
        <v>5.567366</v>
      </c>
      <c r="H191" s="21" t="n">
        <v>9.692819</v>
      </c>
      <c r="I191" s="21" t="n">
        <v>0.045981</v>
      </c>
      <c r="J191" s="21" t="n">
        <v>22.945782</v>
      </c>
      <c r="K191" s="21" t="n">
        <v>1.705663</v>
      </c>
    </row>
    <row r="192">
      <c r="A192" s="9" t="inlineStr"/>
      <c r="B192" s="11" t="n">
        <v>6</v>
      </c>
      <c r="C192" s="11" t="n">
        <v>30</v>
      </c>
      <c r="D192" s="11" t="n">
        <v>1</v>
      </c>
      <c r="E192" s="20" t="n">
        <v>0.3</v>
      </c>
      <c r="F192" s="21" t="n">
        <v>0.780284</v>
      </c>
      <c r="G192" s="21" t="n">
        <v>5.567366</v>
      </c>
      <c r="H192" s="21" t="n">
        <v>9.692819</v>
      </c>
      <c r="I192" s="21" t="n">
        <v>0.045981</v>
      </c>
      <c r="J192" s="21" t="n">
        <v>22.945782</v>
      </c>
      <c r="K192" s="21" t="n">
        <v>1.705663</v>
      </c>
    </row>
    <row r="193">
      <c r="A193" s="9" t="inlineStr"/>
      <c r="B193" s="11" t="n">
        <v>6</v>
      </c>
      <c r="C193" s="11" t="n">
        <v>40</v>
      </c>
      <c r="D193" s="11" t="n">
        <v>25</v>
      </c>
      <c r="E193" s="20" t="n">
        <v>0.3</v>
      </c>
      <c r="F193" s="21" t="n">
        <v>0.694497</v>
      </c>
      <c r="G193" s="21" t="n">
        <v>6.355955</v>
      </c>
      <c r="H193" s="21" t="n">
        <v>13.343127</v>
      </c>
      <c r="I193" s="21" t="n">
        <v>0.079941</v>
      </c>
      <c r="J193" s="21" t="n">
        <v>21.653528</v>
      </c>
      <c r="K193" s="21" t="n">
        <v>1.705527</v>
      </c>
    </row>
    <row r="194">
      <c r="A194" s="9" t="inlineStr"/>
      <c r="B194" s="11" t="n">
        <v>6</v>
      </c>
      <c r="C194" s="11" t="n">
        <v>50</v>
      </c>
      <c r="D194" s="11" t="n">
        <v>1</v>
      </c>
      <c r="E194" s="20" t="n">
        <v>0.3</v>
      </c>
      <c r="F194" s="21" t="n">
        <v>0.780284</v>
      </c>
      <c r="G194" s="21" t="n">
        <v>5.567366</v>
      </c>
      <c r="H194" s="21" t="n">
        <v>9.692819</v>
      </c>
      <c r="I194" s="21" t="n">
        <v>0.045981</v>
      </c>
      <c r="J194" s="21" t="n">
        <v>22.945782</v>
      </c>
      <c r="K194" s="21" t="n">
        <v>1.705663</v>
      </c>
    </row>
    <row r="195">
      <c r="A195" s="9" t="inlineStr"/>
      <c r="B195" s="11" t="n">
        <v>8</v>
      </c>
      <c r="C195" s="11" t="n">
        <v>10</v>
      </c>
      <c r="D195" s="11" t="n">
        <v>2</v>
      </c>
      <c r="E195" s="20" t="n">
        <v>0.3</v>
      </c>
      <c r="F195" s="21" t="n">
        <v>0.763946</v>
      </c>
      <c r="G195" s="21" t="n">
        <v>5.662147</v>
      </c>
      <c r="H195" s="21" t="n">
        <v>10.873327</v>
      </c>
      <c r="I195" s="21" t="n">
        <v>0.049348</v>
      </c>
      <c r="J195" s="21" t="n">
        <v>22.853367</v>
      </c>
      <c r="K195" s="21" t="n">
        <v>1.705663</v>
      </c>
    </row>
    <row r="196">
      <c r="A196" s="9" t="inlineStr"/>
      <c r="B196" s="11" t="n">
        <v>8</v>
      </c>
      <c r="C196" s="11" t="n">
        <v>20</v>
      </c>
      <c r="D196" s="11" t="n">
        <v>25</v>
      </c>
      <c r="E196" s="20" t="n">
        <v>0.3</v>
      </c>
      <c r="F196" s="21" t="n">
        <v>0.694497</v>
      </c>
      <c r="G196" s="21" t="n">
        <v>6.355955</v>
      </c>
      <c r="H196" s="21" t="n">
        <v>13.343127</v>
      </c>
      <c r="I196" s="21" t="n">
        <v>0.079941</v>
      </c>
      <c r="J196" s="21" t="n">
        <v>21.653528</v>
      </c>
      <c r="K196" s="21" t="n">
        <v>1.705527</v>
      </c>
    </row>
    <row r="197">
      <c r="A197" s="9" t="inlineStr"/>
      <c r="B197" s="11" t="n">
        <v>8</v>
      </c>
      <c r="C197" s="11" t="n">
        <v>30</v>
      </c>
      <c r="D197" s="11" t="n">
        <v>1</v>
      </c>
      <c r="E197" s="20" t="n">
        <v>0.3</v>
      </c>
      <c r="F197" s="21" t="n">
        <v>0.780284</v>
      </c>
      <c r="G197" s="21" t="n">
        <v>5.567366</v>
      </c>
      <c r="H197" s="21" t="n">
        <v>9.692819</v>
      </c>
      <c r="I197" s="21" t="n">
        <v>0.045981</v>
      </c>
      <c r="J197" s="21" t="n">
        <v>22.945782</v>
      </c>
      <c r="K197" s="21" t="n">
        <v>1.705663</v>
      </c>
    </row>
    <row r="198">
      <c r="A198" s="9" t="inlineStr"/>
      <c r="B198" s="11" t="n">
        <v>8</v>
      </c>
      <c r="C198" s="11" t="n">
        <v>40</v>
      </c>
      <c r="D198" s="11" t="n">
        <v>2</v>
      </c>
      <c r="E198" s="20" t="n">
        <v>0.3</v>
      </c>
      <c r="F198" s="21" t="n">
        <v>0.763946</v>
      </c>
      <c r="G198" s="21" t="n">
        <v>5.662147</v>
      </c>
      <c r="H198" s="21" t="n">
        <v>10.873327</v>
      </c>
      <c r="I198" s="21" t="n">
        <v>0.049348</v>
      </c>
      <c r="J198" s="21" t="n">
        <v>22.853367</v>
      </c>
      <c r="K198" s="21" t="n">
        <v>1.705663</v>
      </c>
    </row>
    <row r="199">
      <c r="A199" s="9" t="inlineStr"/>
      <c r="B199" s="11" t="n">
        <v>8</v>
      </c>
      <c r="C199" s="11" t="n">
        <v>50</v>
      </c>
      <c r="D199" s="11" t="n">
        <v>25</v>
      </c>
      <c r="E199" s="20" t="n">
        <v>0.3</v>
      </c>
      <c r="F199" s="21" t="n">
        <v>0.694497</v>
      </c>
      <c r="G199" s="21" t="n">
        <v>6.355955</v>
      </c>
      <c r="H199" s="21" t="n">
        <v>13.343127</v>
      </c>
      <c r="I199" s="21" t="n">
        <v>0.079941</v>
      </c>
      <c r="J199" s="21" t="n">
        <v>21.653528</v>
      </c>
      <c r="K199" s="21" t="n">
        <v>1.705527</v>
      </c>
    </row>
    <row r="200">
      <c r="A200" s="9" t="inlineStr"/>
      <c r="B200" s="11" t="n">
        <v>10</v>
      </c>
      <c r="C200" s="11" t="n">
        <v>10</v>
      </c>
      <c r="D200" s="11" t="n">
        <v>1</v>
      </c>
      <c r="E200" s="20" t="n">
        <v>0.3</v>
      </c>
      <c r="F200" s="21" t="n">
        <v>0.780284</v>
      </c>
      <c r="G200" s="21" t="n">
        <v>5.567366</v>
      </c>
      <c r="H200" s="21" t="n">
        <v>9.692819</v>
      </c>
      <c r="I200" s="21" t="n">
        <v>0.045981</v>
      </c>
      <c r="J200" s="21" t="n">
        <v>22.945782</v>
      </c>
      <c r="K200" s="21" t="n">
        <v>1.705663</v>
      </c>
    </row>
    <row r="201">
      <c r="A201" s="9" t="inlineStr"/>
      <c r="B201" s="11" t="n">
        <v>10</v>
      </c>
      <c r="C201" s="11" t="n">
        <v>20</v>
      </c>
      <c r="D201" s="11" t="n">
        <v>1</v>
      </c>
      <c r="E201" s="20" t="n">
        <v>0.3</v>
      </c>
      <c r="F201" s="21" t="n">
        <v>0.780284</v>
      </c>
      <c r="G201" s="21" t="n">
        <v>5.567366</v>
      </c>
      <c r="H201" s="21" t="n">
        <v>9.692819</v>
      </c>
      <c r="I201" s="21" t="n">
        <v>0.045981</v>
      </c>
      <c r="J201" s="21" t="n">
        <v>22.945782</v>
      </c>
      <c r="K201" s="21" t="n">
        <v>1.705663</v>
      </c>
    </row>
    <row r="202">
      <c r="A202" s="9" t="inlineStr"/>
      <c r="B202" s="11" t="n">
        <v>10</v>
      </c>
      <c r="C202" s="11" t="n">
        <v>30</v>
      </c>
      <c r="D202" s="11" t="n">
        <v>25</v>
      </c>
      <c r="E202" s="20" t="n">
        <v>0.3</v>
      </c>
      <c r="F202" s="21" t="n">
        <v>0.694497</v>
      </c>
      <c r="G202" s="21" t="n">
        <v>6.355955</v>
      </c>
      <c r="H202" s="21" t="n">
        <v>13.343127</v>
      </c>
      <c r="I202" s="21" t="n">
        <v>0.079941</v>
      </c>
      <c r="J202" s="21" t="n">
        <v>21.653528</v>
      </c>
      <c r="K202" s="21" t="n">
        <v>1.705527</v>
      </c>
    </row>
    <row r="203">
      <c r="A203" s="9" t="inlineStr"/>
      <c r="B203" s="11" t="n">
        <v>10</v>
      </c>
      <c r="C203" s="11" t="n">
        <v>40</v>
      </c>
      <c r="D203" s="11" t="n">
        <v>1</v>
      </c>
      <c r="E203" s="20" t="n">
        <v>0.3</v>
      </c>
      <c r="F203" s="21" t="n">
        <v>0.780284</v>
      </c>
      <c r="G203" s="21" t="n">
        <v>5.567366</v>
      </c>
      <c r="H203" s="21" t="n">
        <v>9.692819</v>
      </c>
      <c r="I203" s="21" t="n">
        <v>0.045981</v>
      </c>
      <c r="J203" s="21" t="n">
        <v>22.945782</v>
      </c>
      <c r="K203" s="21" t="n">
        <v>1.705663</v>
      </c>
    </row>
    <row r="204">
      <c r="A204" s="9" t="inlineStr"/>
      <c r="B204" s="11" t="n">
        <v>10</v>
      </c>
      <c r="C204" s="11" t="n">
        <v>50</v>
      </c>
      <c r="D204" s="11" t="n">
        <v>25</v>
      </c>
      <c r="E204" s="20" t="n">
        <v>0.3</v>
      </c>
      <c r="F204" s="21" t="n">
        <v>0.694497</v>
      </c>
      <c r="G204" s="21" t="n">
        <v>6.355955</v>
      </c>
      <c r="H204" s="21" t="n">
        <v>13.343127</v>
      </c>
      <c r="I204" s="21" t="n">
        <v>0.079941</v>
      </c>
      <c r="J204" s="21" t="n">
        <v>21.653528</v>
      </c>
      <c r="K204" s="21" t="n">
        <v>1.705527</v>
      </c>
    </row>
    <row r="205">
      <c r="A205" s="8" t="inlineStr">
        <is>
          <t>Athena_heather_hei_vis</t>
        </is>
      </c>
      <c r="B205" s="13" t="n">
        <v>2</v>
      </c>
      <c r="C205" s="13" t="n">
        <v>10</v>
      </c>
      <c r="D205" s="13" t="n">
        <v>1</v>
      </c>
      <c r="E205" s="22" t="n">
        <v>0.3</v>
      </c>
      <c r="F205" s="23" t="n">
        <v>0.698661</v>
      </c>
      <c r="G205" s="23" t="n">
        <v>6.729061</v>
      </c>
      <c r="H205" s="23" t="n">
        <v>12.098656</v>
      </c>
      <c r="I205" s="23" t="n">
        <v>0.10715</v>
      </c>
      <c r="J205" s="23" t="n">
        <v>16.093714</v>
      </c>
      <c r="K205" s="23" t="n">
        <v>1.700731</v>
      </c>
    </row>
    <row r="206">
      <c r="A206" s="9" t="inlineStr"/>
      <c r="B206" s="11" t="n">
        <v>2</v>
      </c>
      <c r="C206" s="11" t="n">
        <v>20</v>
      </c>
      <c r="D206" s="11" t="n">
        <v>1</v>
      </c>
      <c r="E206" s="20" t="n">
        <v>0.3</v>
      </c>
      <c r="F206" s="21" t="n">
        <v>0.698661</v>
      </c>
      <c r="G206" s="21" t="n">
        <v>6.729061</v>
      </c>
      <c r="H206" s="21" t="n">
        <v>12.098656</v>
      </c>
      <c r="I206" s="21" t="n">
        <v>0.10715</v>
      </c>
      <c r="J206" s="21" t="n">
        <v>16.093714</v>
      </c>
      <c r="K206" s="21" t="n">
        <v>1.700731</v>
      </c>
    </row>
    <row r="207">
      <c r="A207" s="9" t="inlineStr"/>
      <c r="B207" s="11" t="n">
        <v>2</v>
      </c>
      <c r="C207" s="11" t="n">
        <v>30</v>
      </c>
      <c r="D207" s="11" t="n">
        <v>25</v>
      </c>
      <c r="E207" s="20" t="n">
        <v>0.3</v>
      </c>
      <c r="F207" s="21" t="n">
        <v>0.614821</v>
      </c>
      <c r="G207" s="21" t="n">
        <v>7.13527</v>
      </c>
      <c r="H207" s="21" t="n">
        <v>16.450108</v>
      </c>
      <c r="I207" s="21" t="n">
        <v>0.144019</v>
      </c>
      <c r="J207" s="21" t="n">
        <v>15.481118</v>
      </c>
      <c r="K207" s="21" t="n">
        <v>1.661541</v>
      </c>
    </row>
    <row r="208">
      <c r="A208" s="9" t="inlineStr"/>
      <c r="B208" s="11" t="n">
        <v>2</v>
      </c>
      <c r="C208" s="11" t="n">
        <v>40</v>
      </c>
      <c r="D208" s="11" t="n">
        <v>9</v>
      </c>
      <c r="E208" s="20" t="n">
        <v>0.3</v>
      </c>
      <c r="F208" s="21" t="n">
        <v>0.629594</v>
      </c>
      <c r="G208" s="21" t="n">
        <v>6.927647</v>
      </c>
      <c r="H208" s="21" t="n">
        <v>16.100438</v>
      </c>
      <c r="I208" s="21" t="n">
        <v>0.123173</v>
      </c>
      <c r="J208" s="21" t="n">
        <v>15.854421</v>
      </c>
      <c r="K208" s="21" t="n">
        <v>1.654109</v>
      </c>
    </row>
    <row r="209">
      <c r="A209" s="9" t="inlineStr"/>
      <c r="B209" s="11" t="n">
        <v>2</v>
      </c>
      <c r="C209" s="11" t="n">
        <v>50</v>
      </c>
      <c r="D209" s="11" t="n">
        <v>25</v>
      </c>
      <c r="E209" s="20" t="n">
        <v>0.3</v>
      </c>
      <c r="F209" s="21" t="n">
        <v>0.614821</v>
      </c>
      <c r="G209" s="21" t="n">
        <v>7.13527</v>
      </c>
      <c r="H209" s="21" t="n">
        <v>16.450108</v>
      </c>
      <c r="I209" s="21" t="n">
        <v>0.144019</v>
      </c>
      <c r="J209" s="21" t="n">
        <v>15.481118</v>
      </c>
      <c r="K209" s="21" t="n">
        <v>1.661541</v>
      </c>
    </row>
    <row r="210">
      <c r="A210" s="9" t="inlineStr"/>
      <c r="B210" s="11" t="n">
        <v>4</v>
      </c>
      <c r="C210" s="11" t="n">
        <v>10</v>
      </c>
      <c r="D210" s="11" t="n">
        <v>25</v>
      </c>
      <c r="E210" s="20" t="n">
        <v>0.3</v>
      </c>
      <c r="F210" s="21" t="n">
        <v>0.614821</v>
      </c>
      <c r="G210" s="21" t="n">
        <v>7.13527</v>
      </c>
      <c r="H210" s="21" t="n">
        <v>16.450108</v>
      </c>
      <c r="I210" s="21" t="n">
        <v>0.144019</v>
      </c>
      <c r="J210" s="21" t="n">
        <v>15.481118</v>
      </c>
      <c r="K210" s="21" t="n">
        <v>1.661541</v>
      </c>
    </row>
    <row r="211">
      <c r="A211" s="9" t="inlineStr"/>
      <c r="B211" s="11" t="n">
        <v>4</v>
      </c>
      <c r="C211" s="11" t="n">
        <v>20</v>
      </c>
      <c r="D211" s="11" t="n">
        <v>1</v>
      </c>
      <c r="E211" s="20" t="n">
        <v>0.3</v>
      </c>
      <c r="F211" s="21" t="n">
        <v>0.698661</v>
      </c>
      <c r="G211" s="21" t="n">
        <v>6.729061</v>
      </c>
      <c r="H211" s="21" t="n">
        <v>12.098656</v>
      </c>
      <c r="I211" s="21" t="n">
        <v>0.10715</v>
      </c>
      <c r="J211" s="21" t="n">
        <v>16.093714</v>
      </c>
      <c r="K211" s="21" t="n">
        <v>1.700731</v>
      </c>
    </row>
    <row r="212">
      <c r="A212" s="9" t="inlineStr"/>
      <c r="B212" s="11" t="n">
        <v>4</v>
      </c>
      <c r="C212" s="11" t="n">
        <v>30</v>
      </c>
      <c r="D212" s="11" t="n">
        <v>25</v>
      </c>
      <c r="E212" s="20" t="n">
        <v>0.3</v>
      </c>
      <c r="F212" s="21" t="n">
        <v>0.614821</v>
      </c>
      <c r="G212" s="21" t="n">
        <v>7.13527</v>
      </c>
      <c r="H212" s="21" t="n">
        <v>16.450108</v>
      </c>
      <c r="I212" s="21" t="n">
        <v>0.144019</v>
      </c>
      <c r="J212" s="21" t="n">
        <v>15.481118</v>
      </c>
      <c r="K212" s="21" t="n">
        <v>1.661541</v>
      </c>
    </row>
    <row r="213">
      <c r="A213" s="9" t="inlineStr"/>
      <c r="B213" s="11" t="n">
        <v>4</v>
      </c>
      <c r="C213" s="11" t="n">
        <v>40</v>
      </c>
      <c r="D213" s="11" t="n">
        <v>2</v>
      </c>
      <c r="E213" s="20" t="n">
        <v>0.3</v>
      </c>
      <c r="F213" s="21" t="n">
        <v>0.6763479999999999</v>
      </c>
      <c r="G213" s="21" t="n">
        <v>6.780883</v>
      </c>
      <c r="H213" s="21" t="n">
        <v>14.06933</v>
      </c>
      <c r="I213" s="21" t="n">
        <v>0.110971</v>
      </c>
      <c r="J213" s="21" t="n">
        <v>16.041479</v>
      </c>
      <c r="K213" s="21" t="n">
        <v>1.700731</v>
      </c>
    </row>
    <row r="214">
      <c r="A214" s="9" t="inlineStr"/>
      <c r="B214" s="11" t="n">
        <v>4</v>
      </c>
      <c r="C214" s="11" t="n">
        <v>50</v>
      </c>
      <c r="D214" s="11" t="n">
        <v>1</v>
      </c>
      <c r="E214" s="20" t="n">
        <v>0.3</v>
      </c>
      <c r="F214" s="21" t="n">
        <v>0.698661</v>
      </c>
      <c r="G214" s="21" t="n">
        <v>6.729061</v>
      </c>
      <c r="H214" s="21" t="n">
        <v>12.098656</v>
      </c>
      <c r="I214" s="21" t="n">
        <v>0.10715</v>
      </c>
      <c r="J214" s="21" t="n">
        <v>16.093714</v>
      </c>
      <c r="K214" s="21" t="n">
        <v>1.700731</v>
      </c>
    </row>
    <row r="215">
      <c r="A215" s="9" t="inlineStr"/>
      <c r="B215" s="11" t="n">
        <v>6</v>
      </c>
      <c r="C215" s="11" t="n">
        <v>10</v>
      </c>
      <c r="D215" s="11" t="n">
        <v>25</v>
      </c>
      <c r="E215" s="20" t="n">
        <v>0.3</v>
      </c>
      <c r="F215" s="21" t="n">
        <v>0.614821</v>
      </c>
      <c r="G215" s="21" t="n">
        <v>7.13527</v>
      </c>
      <c r="H215" s="21" t="n">
        <v>16.450108</v>
      </c>
      <c r="I215" s="21" t="n">
        <v>0.144019</v>
      </c>
      <c r="J215" s="21" t="n">
        <v>15.481118</v>
      </c>
      <c r="K215" s="21" t="n">
        <v>1.661541</v>
      </c>
    </row>
    <row r="216">
      <c r="A216" s="9" t="inlineStr"/>
      <c r="B216" s="11" t="n">
        <v>6</v>
      </c>
      <c r="C216" s="11" t="n">
        <v>20</v>
      </c>
      <c r="D216" s="11" t="n">
        <v>1</v>
      </c>
      <c r="E216" s="20" t="n">
        <v>0.3</v>
      </c>
      <c r="F216" s="21" t="n">
        <v>0.698661</v>
      </c>
      <c r="G216" s="21" t="n">
        <v>6.729061</v>
      </c>
      <c r="H216" s="21" t="n">
        <v>12.098656</v>
      </c>
      <c r="I216" s="21" t="n">
        <v>0.10715</v>
      </c>
      <c r="J216" s="21" t="n">
        <v>16.093714</v>
      </c>
      <c r="K216" s="21" t="n">
        <v>1.700731</v>
      </c>
    </row>
    <row r="217">
      <c r="A217" s="9" t="inlineStr"/>
      <c r="B217" s="11" t="n">
        <v>6</v>
      </c>
      <c r="C217" s="11" t="n">
        <v>30</v>
      </c>
      <c r="D217" s="11" t="n">
        <v>1</v>
      </c>
      <c r="E217" s="20" t="n">
        <v>0.3</v>
      </c>
      <c r="F217" s="21" t="n">
        <v>0.698661</v>
      </c>
      <c r="G217" s="21" t="n">
        <v>6.729061</v>
      </c>
      <c r="H217" s="21" t="n">
        <v>12.098656</v>
      </c>
      <c r="I217" s="21" t="n">
        <v>0.10715</v>
      </c>
      <c r="J217" s="21" t="n">
        <v>16.093714</v>
      </c>
      <c r="K217" s="21" t="n">
        <v>1.700731</v>
      </c>
    </row>
    <row r="218">
      <c r="A218" s="9" t="inlineStr"/>
      <c r="B218" s="11" t="n">
        <v>6</v>
      </c>
      <c r="C218" s="11" t="n">
        <v>40</v>
      </c>
      <c r="D218" s="11" t="n">
        <v>25</v>
      </c>
      <c r="E218" s="20" t="n">
        <v>0.3</v>
      </c>
      <c r="F218" s="21" t="n">
        <v>0.614821</v>
      </c>
      <c r="G218" s="21" t="n">
        <v>7.13527</v>
      </c>
      <c r="H218" s="21" t="n">
        <v>16.450108</v>
      </c>
      <c r="I218" s="21" t="n">
        <v>0.144019</v>
      </c>
      <c r="J218" s="21" t="n">
        <v>15.481118</v>
      </c>
      <c r="K218" s="21" t="n">
        <v>1.661541</v>
      </c>
    </row>
    <row r="219">
      <c r="A219" s="9" t="inlineStr"/>
      <c r="B219" s="11" t="n">
        <v>6</v>
      </c>
      <c r="C219" s="11" t="n">
        <v>50</v>
      </c>
      <c r="D219" s="11" t="n">
        <v>25</v>
      </c>
      <c r="E219" s="20" t="n">
        <v>0.3</v>
      </c>
      <c r="F219" s="21" t="n">
        <v>0.614821</v>
      </c>
      <c r="G219" s="21" t="n">
        <v>7.13527</v>
      </c>
      <c r="H219" s="21" t="n">
        <v>16.450108</v>
      </c>
      <c r="I219" s="21" t="n">
        <v>0.144019</v>
      </c>
      <c r="J219" s="21" t="n">
        <v>15.481118</v>
      </c>
      <c r="K219" s="21" t="n">
        <v>1.661541</v>
      </c>
    </row>
    <row r="220">
      <c r="A220" s="9" t="inlineStr"/>
      <c r="B220" s="11" t="n">
        <v>8</v>
      </c>
      <c r="C220" s="11" t="n">
        <v>10</v>
      </c>
      <c r="D220" s="11" t="n">
        <v>1</v>
      </c>
      <c r="E220" s="20" t="n">
        <v>0.3</v>
      </c>
      <c r="F220" s="21" t="n">
        <v>0.698661</v>
      </c>
      <c r="G220" s="21" t="n">
        <v>6.729061</v>
      </c>
      <c r="H220" s="21" t="n">
        <v>12.098656</v>
      </c>
      <c r="I220" s="21" t="n">
        <v>0.10715</v>
      </c>
      <c r="J220" s="21" t="n">
        <v>16.093714</v>
      </c>
      <c r="K220" s="21" t="n">
        <v>1.700731</v>
      </c>
    </row>
    <row r="221">
      <c r="A221" s="9" t="inlineStr"/>
      <c r="B221" s="11" t="n">
        <v>8</v>
      </c>
      <c r="C221" s="11" t="n">
        <v>20</v>
      </c>
      <c r="D221" s="11" t="n">
        <v>1</v>
      </c>
      <c r="E221" s="20" t="n">
        <v>0.3</v>
      </c>
      <c r="F221" s="21" t="n">
        <v>0.698661</v>
      </c>
      <c r="G221" s="21" t="n">
        <v>6.729061</v>
      </c>
      <c r="H221" s="21" t="n">
        <v>12.098656</v>
      </c>
      <c r="I221" s="21" t="n">
        <v>0.10715</v>
      </c>
      <c r="J221" s="21" t="n">
        <v>16.093714</v>
      </c>
      <c r="K221" s="21" t="n">
        <v>1.700731</v>
      </c>
    </row>
    <row r="222">
      <c r="A222" s="9" t="inlineStr"/>
      <c r="B222" s="11" t="n">
        <v>8</v>
      </c>
      <c r="C222" s="11" t="n">
        <v>30</v>
      </c>
      <c r="D222" s="11" t="n">
        <v>25</v>
      </c>
      <c r="E222" s="20" t="n">
        <v>0.3</v>
      </c>
      <c r="F222" s="21" t="n">
        <v>0.614821</v>
      </c>
      <c r="G222" s="21" t="n">
        <v>7.13527</v>
      </c>
      <c r="H222" s="21" t="n">
        <v>16.450108</v>
      </c>
      <c r="I222" s="21" t="n">
        <v>0.144019</v>
      </c>
      <c r="J222" s="21" t="n">
        <v>15.481118</v>
      </c>
      <c r="K222" s="21" t="n">
        <v>1.661541</v>
      </c>
    </row>
    <row r="223">
      <c r="A223" s="9" t="inlineStr"/>
      <c r="B223" s="11" t="n">
        <v>8</v>
      </c>
      <c r="C223" s="11" t="n">
        <v>40</v>
      </c>
      <c r="D223" s="11" t="n">
        <v>1</v>
      </c>
      <c r="E223" s="20" t="n">
        <v>0.3</v>
      </c>
      <c r="F223" s="21" t="n">
        <v>0.698661</v>
      </c>
      <c r="G223" s="21" t="n">
        <v>6.729061</v>
      </c>
      <c r="H223" s="21" t="n">
        <v>12.098656</v>
      </c>
      <c r="I223" s="21" t="n">
        <v>0.10715</v>
      </c>
      <c r="J223" s="21" t="n">
        <v>16.093714</v>
      </c>
      <c r="K223" s="21" t="n">
        <v>1.700731</v>
      </c>
    </row>
    <row r="224">
      <c r="A224" s="9" t="inlineStr"/>
      <c r="B224" s="11" t="n">
        <v>8</v>
      </c>
      <c r="C224" s="11" t="n">
        <v>50</v>
      </c>
      <c r="D224" s="11" t="n">
        <v>1</v>
      </c>
      <c r="E224" s="20" t="n">
        <v>0.3</v>
      </c>
      <c r="F224" s="21" t="n">
        <v>0.698661</v>
      </c>
      <c r="G224" s="21" t="n">
        <v>6.729061</v>
      </c>
      <c r="H224" s="21" t="n">
        <v>12.098656</v>
      </c>
      <c r="I224" s="21" t="n">
        <v>0.10715</v>
      </c>
      <c r="J224" s="21" t="n">
        <v>16.093714</v>
      </c>
      <c r="K224" s="21" t="n">
        <v>1.700731</v>
      </c>
    </row>
    <row r="225">
      <c r="A225" s="9" t="inlineStr"/>
      <c r="B225" s="11" t="n">
        <v>10</v>
      </c>
      <c r="C225" s="11" t="n">
        <v>10</v>
      </c>
      <c r="D225" s="11" t="n">
        <v>25</v>
      </c>
      <c r="E225" s="20" t="n">
        <v>0.3</v>
      </c>
      <c r="F225" s="21" t="n">
        <v>0.614821</v>
      </c>
      <c r="G225" s="21" t="n">
        <v>7.13527</v>
      </c>
      <c r="H225" s="21" t="n">
        <v>16.450108</v>
      </c>
      <c r="I225" s="21" t="n">
        <v>0.144019</v>
      </c>
      <c r="J225" s="21" t="n">
        <v>15.481118</v>
      </c>
      <c r="K225" s="21" t="n">
        <v>1.661541</v>
      </c>
    </row>
    <row r="226">
      <c r="A226" s="9" t="inlineStr"/>
      <c r="B226" s="11" t="n">
        <v>10</v>
      </c>
      <c r="C226" s="11" t="n">
        <v>20</v>
      </c>
      <c r="D226" s="11" t="n">
        <v>1</v>
      </c>
      <c r="E226" s="20" t="n">
        <v>0.3</v>
      </c>
      <c r="F226" s="21" t="n">
        <v>0.698661</v>
      </c>
      <c r="G226" s="21" t="n">
        <v>6.729061</v>
      </c>
      <c r="H226" s="21" t="n">
        <v>12.098656</v>
      </c>
      <c r="I226" s="21" t="n">
        <v>0.10715</v>
      </c>
      <c r="J226" s="21" t="n">
        <v>16.093714</v>
      </c>
      <c r="K226" s="21" t="n">
        <v>1.700731</v>
      </c>
    </row>
    <row r="227">
      <c r="A227" s="9" t="inlineStr"/>
      <c r="B227" s="11" t="n">
        <v>10</v>
      </c>
      <c r="C227" s="11" t="n">
        <v>30</v>
      </c>
      <c r="D227" s="11" t="n">
        <v>1</v>
      </c>
      <c r="E227" s="20" t="n">
        <v>0.3</v>
      </c>
      <c r="F227" s="21" t="n">
        <v>0.698661</v>
      </c>
      <c r="G227" s="21" t="n">
        <v>6.729061</v>
      </c>
      <c r="H227" s="21" t="n">
        <v>12.098656</v>
      </c>
      <c r="I227" s="21" t="n">
        <v>0.10715</v>
      </c>
      <c r="J227" s="21" t="n">
        <v>16.093714</v>
      </c>
      <c r="K227" s="21" t="n">
        <v>1.700731</v>
      </c>
    </row>
    <row r="228">
      <c r="A228" s="9" t="inlineStr"/>
      <c r="B228" s="11" t="n">
        <v>10</v>
      </c>
      <c r="C228" s="11" t="n">
        <v>40</v>
      </c>
      <c r="D228" s="11" t="n">
        <v>1</v>
      </c>
      <c r="E228" s="20" t="n">
        <v>0.3</v>
      </c>
      <c r="F228" s="21" t="n">
        <v>0.698661</v>
      </c>
      <c r="G228" s="21" t="n">
        <v>6.729061</v>
      </c>
      <c r="H228" s="21" t="n">
        <v>12.098656</v>
      </c>
      <c r="I228" s="21" t="n">
        <v>0.10715</v>
      </c>
      <c r="J228" s="21" t="n">
        <v>16.093714</v>
      </c>
      <c r="K228" s="21" t="n">
        <v>1.700731</v>
      </c>
    </row>
    <row r="229">
      <c r="A229" s="9" t="inlineStr"/>
      <c r="B229" s="11" t="n">
        <v>10</v>
      </c>
      <c r="C229" s="11" t="n">
        <v>50</v>
      </c>
      <c r="D229" s="11" t="n">
        <v>1</v>
      </c>
      <c r="E229" s="20" t="n">
        <v>0.3</v>
      </c>
      <c r="F229" s="21" t="n">
        <v>0.698661</v>
      </c>
      <c r="G229" s="21" t="n">
        <v>6.729061</v>
      </c>
      <c r="H229" s="21" t="n">
        <v>12.098656</v>
      </c>
      <c r="I229" s="21" t="n">
        <v>0.10715</v>
      </c>
      <c r="J229" s="21" t="n">
        <v>16.093714</v>
      </c>
      <c r="K229" s="21" t="n">
        <v>1.700731</v>
      </c>
    </row>
    <row r="230">
      <c r="A230" s="8" t="inlineStr">
        <is>
          <t>Athena_helicopter_helib_011</t>
        </is>
      </c>
      <c r="B230" s="13" t="n">
        <v>2</v>
      </c>
      <c r="C230" s="13" t="n">
        <v>10</v>
      </c>
      <c r="D230" s="13" t="n">
        <v>1</v>
      </c>
      <c r="E230" s="22" t="n">
        <v>0.3</v>
      </c>
      <c r="F230" s="23" t="n">
        <v>0.838334</v>
      </c>
      <c r="G230" s="23" t="n">
        <v>5.02694</v>
      </c>
      <c r="H230" s="23" t="n">
        <v>5.360686</v>
      </c>
      <c r="I230" s="23" t="n">
        <v>0.039436</v>
      </c>
      <c r="J230" s="23" t="n">
        <v>18.539149</v>
      </c>
      <c r="K230" s="23" t="n">
        <v>1.652093</v>
      </c>
    </row>
    <row r="231">
      <c r="A231" s="9" t="inlineStr"/>
      <c r="B231" s="11" t="n">
        <v>2</v>
      </c>
      <c r="C231" s="11" t="n">
        <v>20</v>
      </c>
      <c r="D231" s="11" t="n">
        <v>5</v>
      </c>
      <c r="E231" s="20" t="n">
        <v>0.388</v>
      </c>
      <c r="F231" s="21" t="n">
        <v>0.760328</v>
      </c>
      <c r="G231" s="21" t="n">
        <v>5.341941</v>
      </c>
      <c r="H231" s="21" t="n">
        <v>8.191818</v>
      </c>
      <c r="I231" s="21" t="n">
        <v>0.04643</v>
      </c>
      <c r="J231" s="21" t="n">
        <v>18.447088</v>
      </c>
      <c r="K231" s="21" t="n">
        <v>1.616464</v>
      </c>
    </row>
    <row r="232">
      <c r="A232" s="9" t="inlineStr"/>
      <c r="B232" s="11" t="n">
        <v>2</v>
      </c>
      <c r="C232" s="11" t="n">
        <v>30</v>
      </c>
      <c r="D232" s="11" t="n">
        <v>1</v>
      </c>
      <c r="E232" s="20" t="n">
        <v>0.3</v>
      </c>
      <c r="F232" s="21" t="n">
        <v>0.838334</v>
      </c>
      <c r="G232" s="21" t="n">
        <v>5.02694</v>
      </c>
      <c r="H232" s="21" t="n">
        <v>5.360686</v>
      </c>
      <c r="I232" s="21" t="n">
        <v>0.039436</v>
      </c>
      <c r="J232" s="21" t="n">
        <v>18.539149</v>
      </c>
      <c r="K232" s="21" t="n">
        <v>1.652093</v>
      </c>
    </row>
    <row r="233">
      <c r="A233" s="9" t="inlineStr"/>
      <c r="B233" s="11" t="n">
        <v>2</v>
      </c>
      <c r="C233" s="11" t="n">
        <v>40</v>
      </c>
      <c r="D233" s="11" t="n">
        <v>1</v>
      </c>
      <c r="E233" s="20" t="n">
        <v>0.3</v>
      </c>
      <c r="F233" s="21" t="n">
        <v>0.838334</v>
      </c>
      <c r="G233" s="21" t="n">
        <v>5.02694</v>
      </c>
      <c r="H233" s="21" t="n">
        <v>5.360686</v>
      </c>
      <c r="I233" s="21" t="n">
        <v>0.039436</v>
      </c>
      <c r="J233" s="21" t="n">
        <v>18.539149</v>
      </c>
      <c r="K233" s="21" t="n">
        <v>1.652093</v>
      </c>
    </row>
    <row r="234">
      <c r="A234" s="9" t="inlineStr"/>
      <c r="B234" s="11" t="n">
        <v>2</v>
      </c>
      <c r="C234" s="11" t="n">
        <v>50</v>
      </c>
      <c r="D234" s="11" t="n">
        <v>1</v>
      </c>
      <c r="E234" s="20" t="n">
        <v>0.3</v>
      </c>
      <c r="F234" s="21" t="n">
        <v>0.838334</v>
      </c>
      <c r="G234" s="21" t="n">
        <v>5.02694</v>
      </c>
      <c r="H234" s="21" t="n">
        <v>5.360686</v>
      </c>
      <c r="I234" s="21" t="n">
        <v>0.039436</v>
      </c>
      <c r="J234" s="21" t="n">
        <v>18.539149</v>
      </c>
      <c r="K234" s="21" t="n">
        <v>1.652093</v>
      </c>
    </row>
    <row r="235">
      <c r="A235" s="9" t="inlineStr"/>
      <c r="B235" s="11" t="n">
        <v>4</v>
      </c>
      <c r="C235" s="11" t="n">
        <v>10</v>
      </c>
      <c r="D235" s="11" t="n">
        <v>1</v>
      </c>
      <c r="E235" s="20" t="n">
        <v>0.3</v>
      </c>
      <c r="F235" s="21" t="n">
        <v>0.838334</v>
      </c>
      <c r="G235" s="21" t="n">
        <v>5.02694</v>
      </c>
      <c r="H235" s="21" t="n">
        <v>5.360686</v>
      </c>
      <c r="I235" s="21" t="n">
        <v>0.039436</v>
      </c>
      <c r="J235" s="21" t="n">
        <v>18.539149</v>
      </c>
      <c r="K235" s="21" t="n">
        <v>1.652093</v>
      </c>
    </row>
    <row r="236">
      <c r="A236" s="9" t="inlineStr"/>
      <c r="B236" s="11" t="n">
        <v>4</v>
      </c>
      <c r="C236" s="11" t="n">
        <v>20</v>
      </c>
      <c r="D236" s="11" t="n">
        <v>1</v>
      </c>
      <c r="E236" s="20" t="n">
        <v>0.3</v>
      </c>
      <c r="F236" s="21" t="n">
        <v>0.838334</v>
      </c>
      <c r="G236" s="21" t="n">
        <v>5.02694</v>
      </c>
      <c r="H236" s="21" t="n">
        <v>5.360686</v>
      </c>
      <c r="I236" s="21" t="n">
        <v>0.039436</v>
      </c>
      <c r="J236" s="21" t="n">
        <v>18.539149</v>
      </c>
      <c r="K236" s="21" t="n">
        <v>1.652093</v>
      </c>
    </row>
    <row r="237">
      <c r="A237" s="9" t="inlineStr"/>
      <c r="B237" s="11" t="n">
        <v>4</v>
      </c>
      <c r="C237" s="11" t="n">
        <v>30</v>
      </c>
      <c r="D237" s="11" t="n">
        <v>1</v>
      </c>
      <c r="E237" s="20" t="n">
        <v>0.3</v>
      </c>
      <c r="F237" s="21" t="n">
        <v>0.838334</v>
      </c>
      <c r="G237" s="21" t="n">
        <v>5.02694</v>
      </c>
      <c r="H237" s="21" t="n">
        <v>5.360686</v>
      </c>
      <c r="I237" s="21" t="n">
        <v>0.039436</v>
      </c>
      <c r="J237" s="21" t="n">
        <v>18.539149</v>
      </c>
      <c r="K237" s="21" t="n">
        <v>1.652093</v>
      </c>
    </row>
    <row r="238">
      <c r="A238" s="9" t="inlineStr"/>
      <c r="B238" s="11" t="n">
        <v>4</v>
      </c>
      <c r="C238" s="11" t="n">
        <v>40</v>
      </c>
      <c r="D238" s="11" t="n">
        <v>25</v>
      </c>
      <c r="E238" s="20" t="n">
        <v>0.3</v>
      </c>
      <c r="F238" s="21" t="n">
        <v>0.7645650000000001</v>
      </c>
      <c r="G238" s="21" t="n">
        <v>5.510128</v>
      </c>
      <c r="H238" s="21" t="n">
        <v>7.913039</v>
      </c>
      <c r="I238" s="21" t="n">
        <v>0.058162</v>
      </c>
      <c r="J238" s="21" t="n">
        <v>18.334096</v>
      </c>
      <c r="K238" s="21" t="n">
        <v>1.636672</v>
      </c>
    </row>
    <row r="239">
      <c r="A239" s="9" t="inlineStr"/>
      <c r="B239" s="11" t="n">
        <v>4</v>
      </c>
      <c r="C239" s="11" t="n">
        <v>50</v>
      </c>
      <c r="D239" s="11" t="n">
        <v>1</v>
      </c>
      <c r="E239" s="20" t="n">
        <v>0.3</v>
      </c>
      <c r="F239" s="21" t="n">
        <v>0.838334</v>
      </c>
      <c r="G239" s="21" t="n">
        <v>5.02694</v>
      </c>
      <c r="H239" s="21" t="n">
        <v>5.360686</v>
      </c>
      <c r="I239" s="21" t="n">
        <v>0.039436</v>
      </c>
      <c r="J239" s="21" t="n">
        <v>18.539149</v>
      </c>
      <c r="K239" s="21" t="n">
        <v>1.652093</v>
      </c>
    </row>
    <row r="240">
      <c r="A240" s="9" t="inlineStr"/>
      <c r="B240" s="11" t="n">
        <v>6</v>
      </c>
      <c r="C240" s="11" t="n">
        <v>10</v>
      </c>
      <c r="D240" s="11" t="n">
        <v>1</v>
      </c>
      <c r="E240" s="20" t="n">
        <v>0.3</v>
      </c>
      <c r="F240" s="21" t="n">
        <v>0.838334</v>
      </c>
      <c r="G240" s="21" t="n">
        <v>5.02694</v>
      </c>
      <c r="H240" s="21" t="n">
        <v>5.360686</v>
      </c>
      <c r="I240" s="21" t="n">
        <v>0.039436</v>
      </c>
      <c r="J240" s="21" t="n">
        <v>18.539149</v>
      </c>
      <c r="K240" s="21" t="n">
        <v>1.652093</v>
      </c>
    </row>
    <row r="241">
      <c r="A241" s="9" t="inlineStr"/>
      <c r="B241" s="11" t="n">
        <v>6</v>
      </c>
      <c r="C241" s="11" t="n">
        <v>20</v>
      </c>
      <c r="D241" s="11" t="n">
        <v>2</v>
      </c>
      <c r="E241" s="20" t="n">
        <v>0.3</v>
      </c>
      <c r="F241" s="21" t="n">
        <v>0.822785</v>
      </c>
      <c r="G241" s="21" t="n">
        <v>5.100644</v>
      </c>
      <c r="H241" s="21" t="n">
        <v>6.063616</v>
      </c>
      <c r="I241" s="21" t="n">
        <v>0.040515</v>
      </c>
      <c r="J241" s="21" t="n">
        <v>18.528606</v>
      </c>
      <c r="K241" s="21" t="n">
        <v>1.652093</v>
      </c>
    </row>
    <row r="242">
      <c r="A242" s="9" t="inlineStr"/>
      <c r="B242" s="11" t="n">
        <v>6</v>
      </c>
      <c r="C242" s="11" t="n">
        <v>30</v>
      </c>
      <c r="D242" s="11" t="n">
        <v>1</v>
      </c>
      <c r="E242" s="20" t="n">
        <v>0.3</v>
      </c>
      <c r="F242" s="21" t="n">
        <v>0.838334</v>
      </c>
      <c r="G242" s="21" t="n">
        <v>5.02694</v>
      </c>
      <c r="H242" s="21" t="n">
        <v>5.360686</v>
      </c>
      <c r="I242" s="21" t="n">
        <v>0.039436</v>
      </c>
      <c r="J242" s="21" t="n">
        <v>18.539149</v>
      </c>
      <c r="K242" s="21" t="n">
        <v>1.652093</v>
      </c>
    </row>
    <row r="243">
      <c r="A243" s="9" t="inlineStr"/>
      <c r="B243" s="11" t="n">
        <v>6</v>
      </c>
      <c r="C243" s="11" t="n">
        <v>40</v>
      </c>
      <c r="D243" s="11" t="n">
        <v>25</v>
      </c>
      <c r="E243" s="20" t="n">
        <v>0.3</v>
      </c>
      <c r="F243" s="21" t="n">
        <v>0.7645650000000001</v>
      </c>
      <c r="G243" s="21" t="n">
        <v>5.510128</v>
      </c>
      <c r="H243" s="21" t="n">
        <v>7.913039</v>
      </c>
      <c r="I243" s="21" t="n">
        <v>0.058162</v>
      </c>
      <c r="J243" s="21" t="n">
        <v>18.334096</v>
      </c>
      <c r="K243" s="21" t="n">
        <v>1.636672</v>
      </c>
    </row>
    <row r="244">
      <c r="A244" s="9" t="inlineStr"/>
      <c r="B244" s="11" t="n">
        <v>6</v>
      </c>
      <c r="C244" s="11" t="n">
        <v>50</v>
      </c>
      <c r="D244" s="11" t="n">
        <v>1</v>
      </c>
      <c r="E244" s="20" t="n">
        <v>0.3</v>
      </c>
      <c r="F244" s="21" t="n">
        <v>0.838334</v>
      </c>
      <c r="G244" s="21" t="n">
        <v>5.02694</v>
      </c>
      <c r="H244" s="21" t="n">
        <v>5.360686</v>
      </c>
      <c r="I244" s="21" t="n">
        <v>0.039436</v>
      </c>
      <c r="J244" s="21" t="n">
        <v>18.539149</v>
      </c>
      <c r="K244" s="21" t="n">
        <v>1.652093</v>
      </c>
    </row>
    <row r="245">
      <c r="A245" s="9" t="inlineStr"/>
      <c r="B245" s="11" t="n">
        <v>8</v>
      </c>
      <c r="C245" s="11" t="n">
        <v>10</v>
      </c>
      <c r="D245" s="11" t="n">
        <v>1</v>
      </c>
      <c r="E245" s="20" t="n">
        <v>0.3</v>
      </c>
      <c r="F245" s="21" t="n">
        <v>0.838334</v>
      </c>
      <c r="G245" s="21" t="n">
        <v>5.02694</v>
      </c>
      <c r="H245" s="21" t="n">
        <v>5.360686</v>
      </c>
      <c r="I245" s="21" t="n">
        <v>0.039436</v>
      </c>
      <c r="J245" s="21" t="n">
        <v>18.539149</v>
      </c>
      <c r="K245" s="21" t="n">
        <v>1.652093</v>
      </c>
    </row>
    <row r="246">
      <c r="A246" s="9" t="inlineStr"/>
      <c r="B246" s="11" t="n">
        <v>8</v>
      </c>
      <c r="C246" s="11" t="n">
        <v>20</v>
      </c>
      <c r="D246" s="11" t="n">
        <v>1</v>
      </c>
      <c r="E246" s="20" t="n">
        <v>0.3</v>
      </c>
      <c r="F246" s="21" t="n">
        <v>0.838334</v>
      </c>
      <c r="G246" s="21" t="n">
        <v>5.02694</v>
      </c>
      <c r="H246" s="21" t="n">
        <v>5.360686</v>
      </c>
      <c r="I246" s="21" t="n">
        <v>0.039436</v>
      </c>
      <c r="J246" s="21" t="n">
        <v>18.539149</v>
      </c>
      <c r="K246" s="21" t="n">
        <v>1.652093</v>
      </c>
    </row>
    <row r="247">
      <c r="A247" s="9" t="inlineStr"/>
      <c r="B247" s="11" t="n">
        <v>8</v>
      </c>
      <c r="C247" s="11" t="n">
        <v>30</v>
      </c>
      <c r="D247" s="11" t="n">
        <v>25</v>
      </c>
      <c r="E247" s="20" t="n">
        <v>0.3</v>
      </c>
      <c r="F247" s="21" t="n">
        <v>0.7645650000000001</v>
      </c>
      <c r="G247" s="21" t="n">
        <v>5.510128</v>
      </c>
      <c r="H247" s="21" t="n">
        <v>7.913039</v>
      </c>
      <c r="I247" s="21" t="n">
        <v>0.058162</v>
      </c>
      <c r="J247" s="21" t="n">
        <v>18.334096</v>
      </c>
      <c r="K247" s="21" t="n">
        <v>1.636672</v>
      </c>
    </row>
    <row r="248">
      <c r="A248" s="9" t="inlineStr"/>
      <c r="B248" s="11" t="n">
        <v>8</v>
      </c>
      <c r="C248" s="11" t="n">
        <v>40</v>
      </c>
      <c r="D248" s="11" t="n">
        <v>1</v>
      </c>
      <c r="E248" s="20" t="n">
        <v>0.3</v>
      </c>
      <c r="F248" s="21" t="n">
        <v>0.838334</v>
      </c>
      <c r="G248" s="21" t="n">
        <v>5.02694</v>
      </c>
      <c r="H248" s="21" t="n">
        <v>5.360686</v>
      </c>
      <c r="I248" s="21" t="n">
        <v>0.039436</v>
      </c>
      <c r="J248" s="21" t="n">
        <v>18.539149</v>
      </c>
      <c r="K248" s="21" t="n">
        <v>1.652093</v>
      </c>
    </row>
    <row r="249">
      <c r="A249" s="9" t="inlineStr"/>
      <c r="B249" s="11" t="n">
        <v>8</v>
      </c>
      <c r="C249" s="11" t="n">
        <v>50</v>
      </c>
      <c r="D249" s="11" t="n">
        <v>1</v>
      </c>
      <c r="E249" s="20" t="n">
        <v>0.3</v>
      </c>
      <c r="F249" s="21" t="n">
        <v>0.838334</v>
      </c>
      <c r="G249" s="21" t="n">
        <v>5.02694</v>
      </c>
      <c r="H249" s="21" t="n">
        <v>5.360686</v>
      </c>
      <c r="I249" s="21" t="n">
        <v>0.039436</v>
      </c>
      <c r="J249" s="21" t="n">
        <v>18.539149</v>
      </c>
      <c r="K249" s="21" t="n">
        <v>1.652093</v>
      </c>
    </row>
    <row r="250">
      <c r="A250" s="9" t="inlineStr"/>
      <c r="B250" s="11" t="n">
        <v>10</v>
      </c>
      <c r="C250" s="11" t="n">
        <v>10</v>
      </c>
      <c r="D250" s="11" t="n">
        <v>25</v>
      </c>
      <c r="E250" s="20" t="n">
        <v>0.3</v>
      </c>
      <c r="F250" s="21" t="n">
        <v>0.7645650000000001</v>
      </c>
      <c r="G250" s="21" t="n">
        <v>5.510128</v>
      </c>
      <c r="H250" s="21" t="n">
        <v>7.913039</v>
      </c>
      <c r="I250" s="21" t="n">
        <v>0.058162</v>
      </c>
      <c r="J250" s="21" t="n">
        <v>18.334096</v>
      </c>
      <c r="K250" s="21" t="n">
        <v>1.636672</v>
      </c>
    </row>
    <row r="251">
      <c r="A251" s="9" t="inlineStr"/>
      <c r="B251" s="11" t="n">
        <v>10</v>
      </c>
      <c r="C251" s="11" t="n">
        <v>20</v>
      </c>
      <c r="D251" s="11" t="n">
        <v>25</v>
      </c>
      <c r="E251" s="20" t="n">
        <v>0.3</v>
      </c>
      <c r="F251" s="21" t="n">
        <v>0.7645650000000001</v>
      </c>
      <c r="G251" s="21" t="n">
        <v>5.510128</v>
      </c>
      <c r="H251" s="21" t="n">
        <v>7.913039</v>
      </c>
      <c r="I251" s="21" t="n">
        <v>0.058162</v>
      </c>
      <c r="J251" s="21" t="n">
        <v>18.334096</v>
      </c>
      <c r="K251" s="21" t="n">
        <v>1.636672</v>
      </c>
    </row>
    <row r="252">
      <c r="A252" s="9" t="inlineStr"/>
      <c r="B252" s="11" t="n">
        <v>10</v>
      </c>
      <c r="C252" s="11" t="n">
        <v>30</v>
      </c>
      <c r="D252" s="11" t="n">
        <v>1</v>
      </c>
      <c r="E252" s="20" t="n">
        <v>0.3</v>
      </c>
      <c r="F252" s="21" t="n">
        <v>0.838334</v>
      </c>
      <c r="G252" s="21" t="n">
        <v>5.02694</v>
      </c>
      <c r="H252" s="21" t="n">
        <v>5.360686</v>
      </c>
      <c r="I252" s="21" t="n">
        <v>0.039436</v>
      </c>
      <c r="J252" s="21" t="n">
        <v>18.539149</v>
      </c>
      <c r="K252" s="21" t="n">
        <v>1.652093</v>
      </c>
    </row>
    <row r="253">
      <c r="A253" s="9" t="inlineStr"/>
      <c r="B253" s="11" t="n">
        <v>10</v>
      </c>
      <c r="C253" s="11" t="n">
        <v>40</v>
      </c>
      <c r="D253" s="11" t="n">
        <v>1</v>
      </c>
      <c r="E253" s="20" t="n">
        <v>0.3</v>
      </c>
      <c r="F253" s="21" t="n">
        <v>0.838334</v>
      </c>
      <c r="G253" s="21" t="n">
        <v>5.02694</v>
      </c>
      <c r="H253" s="21" t="n">
        <v>5.360686</v>
      </c>
      <c r="I253" s="21" t="n">
        <v>0.039436</v>
      </c>
      <c r="J253" s="21" t="n">
        <v>18.539149</v>
      </c>
      <c r="K253" s="21" t="n">
        <v>1.652093</v>
      </c>
    </row>
    <row r="254">
      <c r="A254" s="9" t="inlineStr"/>
      <c r="B254" s="11" t="n">
        <v>10</v>
      </c>
      <c r="C254" s="11" t="n">
        <v>50</v>
      </c>
      <c r="D254" s="11" t="n">
        <v>1</v>
      </c>
      <c r="E254" s="20" t="n">
        <v>0.3</v>
      </c>
      <c r="F254" s="21" t="n">
        <v>0.838334</v>
      </c>
      <c r="G254" s="21" t="n">
        <v>5.02694</v>
      </c>
      <c r="H254" s="21" t="n">
        <v>5.360686</v>
      </c>
      <c r="I254" s="21" t="n">
        <v>0.039436</v>
      </c>
      <c r="J254" s="21" t="n">
        <v>18.539149</v>
      </c>
      <c r="K254" s="21" t="n">
        <v>1.652093</v>
      </c>
    </row>
    <row r="255">
      <c r="A255" s="8" t="inlineStr">
        <is>
          <t>Athena_lake_lake</t>
        </is>
      </c>
      <c r="B255" s="13" t="n">
        <v>2</v>
      </c>
      <c r="C255" s="13" t="n">
        <v>10</v>
      </c>
      <c r="D255" s="13" t="n">
        <v>1</v>
      </c>
      <c r="E255" s="22" t="n">
        <v>0.3</v>
      </c>
      <c r="F255" s="23" t="n">
        <v>0.758101</v>
      </c>
      <c r="G255" s="23" t="n">
        <v>6.58397</v>
      </c>
      <c r="H255" s="23" t="n">
        <v>9.791926999999999</v>
      </c>
      <c r="I255" s="23" t="n">
        <v>0.097902</v>
      </c>
      <c r="J255" s="23" t="n">
        <v>16.969079</v>
      </c>
      <c r="K255" s="23" t="n">
        <v>1.750788</v>
      </c>
    </row>
    <row r="256">
      <c r="A256" s="9" t="inlineStr"/>
      <c r="B256" s="11" t="n">
        <v>2</v>
      </c>
      <c r="C256" s="11" t="n">
        <v>20</v>
      </c>
      <c r="D256" s="11" t="n">
        <v>2</v>
      </c>
      <c r="E256" s="20" t="n">
        <v>0.3</v>
      </c>
      <c r="F256" s="21" t="n">
        <v>0.738182</v>
      </c>
      <c r="G256" s="21" t="n">
        <v>6.607195</v>
      </c>
      <c r="H256" s="21" t="n">
        <v>11.753824</v>
      </c>
      <c r="I256" s="21" t="n">
        <v>0.10279</v>
      </c>
      <c r="J256" s="21" t="n">
        <v>16.900901</v>
      </c>
      <c r="K256" s="21" t="n">
        <v>1.750788</v>
      </c>
    </row>
    <row r="257">
      <c r="A257" s="9" t="inlineStr"/>
      <c r="B257" s="11" t="n">
        <v>2</v>
      </c>
      <c r="C257" s="11" t="n">
        <v>30</v>
      </c>
      <c r="D257" s="11" t="n">
        <v>1</v>
      </c>
      <c r="E257" s="20" t="n">
        <v>0.3</v>
      </c>
      <c r="F257" s="21" t="n">
        <v>0.758101</v>
      </c>
      <c r="G257" s="21" t="n">
        <v>6.58397</v>
      </c>
      <c r="H257" s="21" t="n">
        <v>9.791926999999999</v>
      </c>
      <c r="I257" s="21" t="n">
        <v>0.097902</v>
      </c>
      <c r="J257" s="21" t="n">
        <v>16.969079</v>
      </c>
      <c r="K257" s="21" t="n">
        <v>1.750788</v>
      </c>
    </row>
    <row r="258">
      <c r="A258" s="9" t="inlineStr"/>
      <c r="B258" s="11" t="n">
        <v>2</v>
      </c>
      <c r="C258" s="11" t="n">
        <v>40</v>
      </c>
      <c r="D258" s="11" t="n">
        <v>25</v>
      </c>
      <c r="E258" s="20" t="n">
        <v>0.3</v>
      </c>
      <c r="F258" s="21" t="n">
        <v>0.653215</v>
      </c>
      <c r="G258" s="21" t="n">
        <v>6.928924</v>
      </c>
      <c r="H258" s="21" t="n">
        <v>14.595006</v>
      </c>
      <c r="I258" s="21" t="n">
        <v>0.129427</v>
      </c>
      <c r="J258" s="21" t="n">
        <v>16.350303</v>
      </c>
      <c r="K258" s="21" t="n">
        <v>1.682834</v>
      </c>
    </row>
    <row r="259">
      <c r="A259" s="9" t="inlineStr"/>
      <c r="B259" s="11" t="n">
        <v>2</v>
      </c>
      <c r="C259" s="11" t="n">
        <v>50</v>
      </c>
      <c r="D259" s="11" t="n">
        <v>2</v>
      </c>
      <c r="E259" s="20" t="n">
        <v>0.3</v>
      </c>
      <c r="F259" s="21" t="n">
        <v>0.738182</v>
      </c>
      <c r="G259" s="21" t="n">
        <v>6.607195</v>
      </c>
      <c r="H259" s="21" t="n">
        <v>11.753824</v>
      </c>
      <c r="I259" s="21" t="n">
        <v>0.10279</v>
      </c>
      <c r="J259" s="21" t="n">
        <v>16.900901</v>
      </c>
      <c r="K259" s="21" t="n">
        <v>1.750788</v>
      </c>
    </row>
    <row r="260">
      <c r="A260" s="9" t="inlineStr"/>
      <c r="B260" s="11" t="n">
        <v>4</v>
      </c>
      <c r="C260" s="11" t="n">
        <v>10</v>
      </c>
      <c r="D260" s="11" t="n">
        <v>1</v>
      </c>
      <c r="E260" s="20" t="n">
        <v>0.3</v>
      </c>
      <c r="F260" s="21" t="n">
        <v>0.758101</v>
      </c>
      <c r="G260" s="21" t="n">
        <v>6.58397</v>
      </c>
      <c r="H260" s="21" t="n">
        <v>9.791926999999999</v>
      </c>
      <c r="I260" s="21" t="n">
        <v>0.097902</v>
      </c>
      <c r="J260" s="21" t="n">
        <v>16.969079</v>
      </c>
      <c r="K260" s="21" t="n">
        <v>1.750788</v>
      </c>
    </row>
    <row r="261">
      <c r="A261" s="9" t="inlineStr"/>
      <c r="B261" s="11" t="n">
        <v>4</v>
      </c>
      <c r="C261" s="11" t="n">
        <v>20</v>
      </c>
      <c r="D261" s="11" t="n">
        <v>1</v>
      </c>
      <c r="E261" s="20" t="n">
        <v>0.3</v>
      </c>
      <c r="F261" s="21" t="n">
        <v>0.758101</v>
      </c>
      <c r="G261" s="21" t="n">
        <v>6.58397</v>
      </c>
      <c r="H261" s="21" t="n">
        <v>9.791926999999999</v>
      </c>
      <c r="I261" s="21" t="n">
        <v>0.097902</v>
      </c>
      <c r="J261" s="21" t="n">
        <v>16.969079</v>
      </c>
      <c r="K261" s="21" t="n">
        <v>1.750788</v>
      </c>
    </row>
    <row r="262">
      <c r="A262" s="9" t="inlineStr"/>
      <c r="B262" s="11" t="n">
        <v>4</v>
      </c>
      <c r="C262" s="11" t="n">
        <v>30</v>
      </c>
      <c r="D262" s="11" t="n">
        <v>1</v>
      </c>
      <c r="E262" s="20" t="n">
        <v>0.3</v>
      </c>
      <c r="F262" s="21" t="n">
        <v>0.758101</v>
      </c>
      <c r="G262" s="21" t="n">
        <v>6.58397</v>
      </c>
      <c r="H262" s="21" t="n">
        <v>9.791926999999999</v>
      </c>
      <c r="I262" s="21" t="n">
        <v>0.097902</v>
      </c>
      <c r="J262" s="21" t="n">
        <v>16.969079</v>
      </c>
      <c r="K262" s="21" t="n">
        <v>1.750788</v>
      </c>
    </row>
    <row r="263">
      <c r="A263" s="9" t="inlineStr"/>
      <c r="B263" s="11" t="n">
        <v>4</v>
      </c>
      <c r="C263" s="11" t="n">
        <v>40</v>
      </c>
      <c r="D263" s="11" t="n">
        <v>1</v>
      </c>
      <c r="E263" s="20" t="n">
        <v>0.3</v>
      </c>
      <c r="F263" s="21" t="n">
        <v>0.758101</v>
      </c>
      <c r="G263" s="21" t="n">
        <v>6.58397</v>
      </c>
      <c r="H263" s="21" t="n">
        <v>9.791926999999999</v>
      </c>
      <c r="I263" s="21" t="n">
        <v>0.097902</v>
      </c>
      <c r="J263" s="21" t="n">
        <v>16.969079</v>
      </c>
      <c r="K263" s="21" t="n">
        <v>1.750788</v>
      </c>
    </row>
    <row r="264">
      <c r="A264" s="9" t="inlineStr"/>
      <c r="B264" s="11" t="n">
        <v>4</v>
      </c>
      <c r="C264" s="11" t="n">
        <v>50</v>
      </c>
      <c r="D264" s="11" t="n">
        <v>1</v>
      </c>
      <c r="E264" s="20" t="n">
        <v>0.3</v>
      </c>
      <c r="F264" s="21" t="n">
        <v>0.758101</v>
      </c>
      <c r="G264" s="21" t="n">
        <v>6.58397</v>
      </c>
      <c r="H264" s="21" t="n">
        <v>9.791926999999999</v>
      </c>
      <c r="I264" s="21" t="n">
        <v>0.097902</v>
      </c>
      <c r="J264" s="21" t="n">
        <v>16.969079</v>
      </c>
      <c r="K264" s="21" t="n">
        <v>1.750788</v>
      </c>
    </row>
    <row r="265">
      <c r="A265" s="9" t="inlineStr"/>
      <c r="B265" s="11" t="n">
        <v>6</v>
      </c>
      <c r="C265" s="11" t="n">
        <v>10</v>
      </c>
      <c r="D265" s="11" t="n">
        <v>1</v>
      </c>
      <c r="E265" s="20" t="n">
        <v>0.3</v>
      </c>
      <c r="F265" s="21" t="n">
        <v>0.758101</v>
      </c>
      <c r="G265" s="21" t="n">
        <v>6.58397</v>
      </c>
      <c r="H265" s="21" t="n">
        <v>9.791926999999999</v>
      </c>
      <c r="I265" s="21" t="n">
        <v>0.097902</v>
      </c>
      <c r="J265" s="21" t="n">
        <v>16.969079</v>
      </c>
      <c r="K265" s="21" t="n">
        <v>1.750788</v>
      </c>
    </row>
    <row r="266">
      <c r="A266" s="9" t="inlineStr"/>
      <c r="B266" s="11" t="n">
        <v>6</v>
      </c>
      <c r="C266" s="11" t="n">
        <v>20</v>
      </c>
      <c r="D266" s="11" t="n">
        <v>1</v>
      </c>
      <c r="E266" s="20" t="n">
        <v>0.3</v>
      </c>
      <c r="F266" s="21" t="n">
        <v>0.758101</v>
      </c>
      <c r="G266" s="21" t="n">
        <v>6.58397</v>
      </c>
      <c r="H266" s="21" t="n">
        <v>9.791926999999999</v>
      </c>
      <c r="I266" s="21" t="n">
        <v>0.097902</v>
      </c>
      <c r="J266" s="21" t="n">
        <v>16.969079</v>
      </c>
      <c r="K266" s="21" t="n">
        <v>1.750788</v>
      </c>
    </row>
    <row r="267">
      <c r="A267" s="9" t="inlineStr"/>
      <c r="B267" s="11" t="n">
        <v>6</v>
      </c>
      <c r="C267" s="11" t="n">
        <v>30</v>
      </c>
      <c r="D267" s="11" t="n">
        <v>1</v>
      </c>
      <c r="E267" s="20" t="n">
        <v>0.3</v>
      </c>
      <c r="F267" s="21" t="n">
        <v>0.758101</v>
      </c>
      <c r="G267" s="21" t="n">
        <v>6.58397</v>
      </c>
      <c r="H267" s="21" t="n">
        <v>9.791926999999999</v>
      </c>
      <c r="I267" s="21" t="n">
        <v>0.097902</v>
      </c>
      <c r="J267" s="21" t="n">
        <v>16.969079</v>
      </c>
      <c r="K267" s="21" t="n">
        <v>1.750788</v>
      </c>
    </row>
    <row r="268">
      <c r="A268" s="9" t="inlineStr"/>
      <c r="B268" s="11" t="n">
        <v>6</v>
      </c>
      <c r="C268" s="11" t="n">
        <v>40</v>
      </c>
      <c r="D268" s="11" t="n">
        <v>1</v>
      </c>
      <c r="E268" s="20" t="n">
        <v>0.3</v>
      </c>
      <c r="F268" s="21" t="n">
        <v>0.758101</v>
      </c>
      <c r="G268" s="21" t="n">
        <v>6.58397</v>
      </c>
      <c r="H268" s="21" t="n">
        <v>9.791926999999999</v>
      </c>
      <c r="I268" s="21" t="n">
        <v>0.097902</v>
      </c>
      <c r="J268" s="21" t="n">
        <v>16.969079</v>
      </c>
      <c r="K268" s="21" t="n">
        <v>1.750788</v>
      </c>
    </row>
    <row r="269">
      <c r="A269" s="9" t="inlineStr"/>
      <c r="B269" s="11" t="n">
        <v>6</v>
      </c>
      <c r="C269" s="11" t="n">
        <v>50</v>
      </c>
      <c r="D269" s="11" t="n">
        <v>1</v>
      </c>
      <c r="E269" s="20" t="n">
        <v>0.3</v>
      </c>
      <c r="F269" s="21" t="n">
        <v>0.758101</v>
      </c>
      <c r="G269" s="21" t="n">
        <v>6.58397</v>
      </c>
      <c r="H269" s="21" t="n">
        <v>9.791926999999999</v>
      </c>
      <c r="I269" s="21" t="n">
        <v>0.097902</v>
      </c>
      <c r="J269" s="21" t="n">
        <v>16.969079</v>
      </c>
      <c r="K269" s="21" t="n">
        <v>1.750788</v>
      </c>
    </row>
    <row r="270">
      <c r="A270" s="9" t="inlineStr"/>
      <c r="B270" s="11" t="n">
        <v>8</v>
      </c>
      <c r="C270" s="11" t="n">
        <v>10</v>
      </c>
      <c r="D270" s="11" t="n">
        <v>1</v>
      </c>
      <c r="E270" s="20" t="n">
        <v>0.3</v>
      </c>
      <c r="F270" s="21" t="n">
        <v>0.758101</v>
      </c>
      <c r="G270" s="21" t="n">
        <v>6.58397</v>
      </c>
      <c r="H270" s="21" t="n">
        <v>9.791926999999999</v>
      </c>
      <c r="I270" s="21" t="n">
        <v>0.097902</v>
      </c>
      <c r="J270" s="21" t="n">
        <v>16.969079</v>
      </c>
      <c r="K270" s="21" t="n">
        <v>1.750788</v>
      </c>
    </row>
    <row r="271">
      <c r="A271" s="9" t="inlineStr"/>
      <c r="B271" s="11" t="n">
        <v>8</v>
      </c>
      <c r="C271" s="11" t="n">
        <v>20</v>
      </c>
      <c r="D271" s="11" t="n">
        <v>1</v>
      </c>
      <c r="E271" s="20" t="n">
        <v>0.3</v>
      </c>
      <c r="F271" s="21" t="n">
        <v>0.758101</v>
      </c>
      <c r="G271" s="21" t="n">
        <v>6.58397</v>
      </c>
      <c r="H271" s="21" t="n">
        <v>9.791926999999999</v>
      </c>
      <c r="I271" s="21" t="n">
        <v>0.097902</v>
      </c>
      <c r="J271" s="21" t="n">
        <v>16.969079</v>
      </c>
      <c r="K271" s="21" t="n">
        <v>1.750788</v>
      </c>
    </row>
    <row r="272">
      <c r="A272" s="9" t="inlineStr"/>
      <c r="B272" s="11" t="n">
        <v>8</v>
      </c>
      <c r="C272" s="11" t="n">
        <v>30</v>
      </c>
      <c r="D272" s="11" t="n">
        <v>1</v>
      </c>
      <c r="E272" s="20" t="n">
        <v>0.3</v>
      </c>
      <c r="F272" s="21" t="n">
        <v>0.758101</v>
      </c>
      <c r="G272" s="21" t="n">
        <v>6.58397</v>
      </c>
      <c r="H272" s="21" t="n">
        <v>9.791926999999999</v>
      </c>
      <c r="I272" s="21" t="n">
        <v>0.097902</v>
      </c>
      <c r="J272" s="21" t="n">
        <v>16.969079</v>
      </c>
      <c r="K272" s="21" t="n">
        <v>1.750788</v>
      </c>
    </row>
    <row r="273">
      <c r="A273" s="9" t="inlineStr"/>
      <c r="B273" s="11" t="n">
        <v>8</v>
      </c>
      <c r="C273" s="11" t="n">
        <v>40</v>
      </c>
      <c r="D273" s="11" t="n">
        <v>1</v>
      </c>
      <c r="E273" s="20" t="n">
        <v>0.3</v>
      </c>
      <c r="F273" s="21" t="n">
        <v>0.758101</v>
      </c>
      <c r="G273" s="21" t="n">
        <v>6.58397</v>
      </c>
      <c r="H273" s="21" t="n">
        <v>9.791926999999999</v>
      </c>
      <c r="I273" s="21" t="n">
        <v>0.097902</v>
      </c>
      <c r="J273" s="21" t="n">
        <v>16.969079</v>
      </c>
      <c r="K273" s="21" t="n">
        <v>1.750788</v>
      </c>
    </row>
    <row r="274">
      <c r="A274" s="9" t="inlineStr"/>
      <c r="B274" s="11" t="n">
        <v>8</v>
      </c>
      <c r="C274" s="11" t="n">
        <v>50</v>
      </c>
      <c r="D274" s="11" t="n">
        <v>2</v>
      </c>
      <c r="E274" s="20" t="n">
        <v>0.3</v>
      </c>
      <c r="F274" s="21" t="n">
        <v>0.738182</v>
      </c>
      <c r="G274" s="21" t="n">
        <v>6.607195</v>
      </c>
      <c r="H274" s="21" t="n">
        <v>11.753824</v>
      </c>
      <c r="I274" s="21" t="n">
        <v>0.10279</v>
      </c>
      <c r="J274" s="21" t="n">
        <v>16.900901</v>
      </c>
      <c r="K274" s="21" t="n">
        <v>1.750788</v>
      </c>
    </row>
    <row r="275">
      <c r="A275" s="9" t="inlineStr"/>
      <c r="B275" s="11" t="n">
        <v>10</v>
      </c>
      <c r="C275" s="11" t="n">
        <v>10</v>
      </c>
      <c r="D275" s="11" t="n">
        <v>1</v>
      </c>
      <c r="E275" s="20" t="n">
        <v>0.3</v>
      </c>
      <c r="F275" s="21" t="n">
        <v>0.758101</v>
      </c>
      <c r="G275" s="21" t="n">
        <v>6.58397</v>
      </c>
      <c r="H275" s="21" t="n">
        <v>9.791926999999999</v>
      </c>
      <c r="I275" s="21" t="n">
        <v>0.097902</v>
      </c>
      <c r="J275" s="21" t="n">
        <v>16.969079</v>
      </c>
      <c r="K275" s="21" t="n">
        <v>1.750788</v>
      </c>
    </row>
    <row r="276">
      <c r="A276" s="9" t="inlineStr"/>
      <c r="B276" s="11" t="n">
        <v>10</v>
      </c>
      <c r="C276" s="11" t="n">
        <v>20</v>
      </c>
      <c r="D276" s="11" t="n">
        <v>1</v>
      </c>
      <c r="E276" s="20" t="n">
        <v>0.3</v>
      </c>
      <c r="F276" s="21" t="n">
        <v>0.758101</v>
      </c>
      <c r="G276" s="21" t="n">
        <v>6.58397</v>
      </c>
      <c r="H276" s="21" t="n">
        <v>9.791926999999999</v>
      </c>
      <c r="I276" s="21" t="n">
        <v>0.097902</v>
      </c>
      <c r="J276" s="21" t="n">
        <v>16.969079</v>
      </c>
      <c r="K276" s="21" t="n">
        <v>1.750788</v>
      </c>
    </row>
    <row r="277">
      <c r="A277" s="9" t="inlineStr"/>
      <c r="B277" s="11" t="n">
        <v>10</v>
      </c>
      <c r="C277" s="11" t="n">
        <v>30</v>
      </c>
      <c r="D277" s="11" t="n">
        <v>2</v>
      </c>
      <c r="E277" s="20" t="n">
        <v>0.3</v>
      </c>
      <c r="F277" s="21" t="n">
        <v>0.738182</v>
      </c>
      <c r="G277" s="21" t="n">
        <v>6.607195</v>
      </c>
      <c r="H277" s="21" t="n">
        <v>11.753824</v>
      </c>
      <c r="I277" s="21" t="n">
        <v>0.10279</v>
      </c>
      <c r="J277" s="21" t="n">
        <v>16.900901</v>
      </c>
      <c r="K277" s="21" t="n">
        <v>1.750788</v>
      </c>
    </row>
    <row r="278">
      <c r="A278" s="9" t="inlineStr"/>
      <c r="B278" s="11" t="n">
        <v>10</v>
      </c>
      <c r="C278" s="11" t="n">
        <v>40</v>
      </c>
      <c r="D278" s="11" t="n">
        <v>1</v>
      </c>
      <c r="E278" s="20" t="n">
        <v>0.3</v>
      </c>
      <c r="F278" s="21" t="n">
        <v>0.758101</v>
      </c>
      <c r="G278" s="21" t="n">
        <v>6.58397</v>
      </c>
      <c r="H278" s="21" t="n">
        <v>9.791926999999999</v>
      </c>
      <c r="I278" s="21" t="n">
        <v>0.097902</v>
      </c>
      <c r="J278" s="21" t="n">
        <v>16.969079</v>
      </c>
      <c r="K278" s="21" t="n">
        <v>1.750788</v>
      </c>
    </row>
    <row r="279">
      <c r="A279" s="9" t="inlineStr"/>
      <c r="B279" s="11" t="n">
        <v>10</v>
      </c>
      <c r="C279" s="11" t="n">
        <v>50</v>
      </c>
      <c r="D279" s="11" t="n">
        <v>1</v>
      </c>
      <c r="E279" s="20" t="n">
        <v>0.3</v>
      </c>
      <c r="F279" s="21" t="n">
        <v>0.758101</v>
      </c>
      <c r="G279" s="21" t="n">
        <v>6.58397</v>
      </c>
      <c r="H279" s="21" t="n">
        <v>9.791926999999999</v>
      </c>
      <c r="I279" s="21" t="n">
        <v>0.097902</v>
      </c>
      <c r="J279" s="21" t="n">
        <v>16.969079</v>
      </c>
      <c r="K279" s="21" t="n">
        <v>1.750788</v>
      </c>
    </row>
    <row r="280">
      <c r="A280" s="8" t="inlineStr">
        <is>
          <t>Athena_man_in_doorway_maninhuis</t>
        </is>
      </c>
      <c r="B280" s="11" t="n">
        <v>2</v>
      </c>
      <c r="C280" s="11" t="n">
        <v>10</v>
      </c>
      <c r="D280" s="11" t="n">
        <v>25</v>
      </c>
      <c r="E280" s="20" t="n">
        <v>0.3</v>
      </c>
      <c r="F280" s="21" t="n">
        <v>0.614993</v>
      </c>
      <c r="G280" s="21" t="n">
        <v>7.400911</v>
      </c>
      <c r="H280" s="21" t="n">
        <v>18.923244</v>
      </c>
      <c r="I280" s="21" t="n">
        <v>0.17166</v>
      </c>
      <c r="J280" s="21" t="n">
        <v>14.565457</v>
      </c>
      <c r="K280" s="21" t="n">
        <v>1.685762</v>
      </c>
    </row>
    <row r="281">
      <c r="A281" s="9" t="inlineStr"/>
      <c r="B281" s="11" t="n">
        <v>2</v>
      </c>
      <c r="C281" s="11" t="n">
        <v>20</v>
      </c>
      <c r="D281" s="11" t="n">
        <v>6</v>
      </c>
      <c r="E281" s="20" t="n">
        <v>1.4125</v>
      </c>
      <c r="F281" s="21" t="n">
        <v>0.323308</v>
      </c>
      <c r="G281" s="21" t="n">
        <v>7.428328</v>
      </c>
      <c r="H281" s="21" t="n">
        <v>43.815536</v>
      </c>
      <c r="I281" s="21" t="n">
        <v>0.232751</v>
      </c>
      <c r="J281" s="21" t="n">
        <v>12.317094</v>
      </c>
      <c r="K281" s="21" t="n">
        <v>1.386777</v>
      </c>
    </row>
    <row r="282">
      <c r="A282" s="9" t="inlineStr"/>
      <c r="B282" s="11" t="n">
        <v>2</v>
      </c>
      <c r="C282" s="11" t="n">
        <v>30</v>
      </c>
      <c r="D282" s="11" t="n">
        <v>25</v>
      </c>
      <c r="E282" s="20" t="n">
        <v>0.3</v>
      </c>
      <c r="F282" s="21" t="n">
        <v>0.614993</v>
      </c>
      <c r="G282" s="21" t="n">
        <v>7.400911</v>
      </c>
      <c r="H282" s="21" t="n">
        <v>18.923244</v>
      </c>
      <c r="I282" s="21" t="n">
        <v>0.17166</v>
      </c>
      <c r="J282" s="21" t="n">
        <v>14.565457</v>
      </c>
      <c r="K282" s="21" t="n">
        <v>1.685762</v>
      </c>
    </row>
    <row r="283">
      <c r="A283" s="9" t="inlineStr"/>
      <c r="B283" s="11" t="n">
        <v>2</v>
      </c>
      <c r="C283" s="11" t="n">
        <v>40</v>
      </c>
      <c r="D283" s="11" t="n">
        <v>1</v>
      </c>
      <c r="E283" s="20" t="n">
        <v>1.6934</v>
      </c>
      <c r="F283" s="21" t="n">
        <v>0.496196</v>
      </c>
      <c r="G283" s="21" t="n">
        <v>7.021054</v>
      </c>
      <c r="H283" s="21" t="n">
        <v>27.947716</v>
      </c>
      <c r="I283" s="21" t="n">
        <v>0.129</v>
      </c>
      <c r="J283" s="21" t="n">
        <v>15.046466</v>
      </c>
      <c r="K283" s="21" t="n">
        <v>1.524294</v>
      </c>
    </row>
    <row r="284">
      <c r="A284" s="9" t="inlineStr"/>
      <c r="B284" s="11" t="n">
        <v>2</v>
      </c>
      <c r="C284" s="11" t="n">
        <v>50</v>
      </c>
      <c r="D284" s="11" t="n">
        <v>25</v>
      </c>
      <c r="E284" s="20" t="n">
        <v>0.3</v>
      </c>
      <c r="F284" s="21" t="n">
        <v>0.614993</v>
      </c>
      <c r="G284" s="21" t="n">
        <v>7.400911</v>
      </c>
      <c r="H284" s="21" t="n">
        <v>18.923244</v>
      </c>
      <c r="I284" s="21" t="n">
        <v>0.17166</v>
      </c>
      <c r="J284" s="21" t="n">
        <v>14.565457</v>
      </c>
      <c r="K284" s="21" t="n">
        <v>1.685762</v>
      </c>
    </row>
    <row r="285">
      <c r="A285" s="9" t="inlineStr"/>
      <c r="B285" s="13" t="n">
        <v>4</v>
      </c>
      <c r="C285" s="13" t="n">
        <v>10</v>
      </c>
      <c r="D285" s="13" t="n">
        <v>1</v>
      </c>
      <c r="E285" s="22" t="n">
        <v>0.3</v>
      </c>
      <c r="F285" s="23" t="n">
        <v>0.7023</v>
      </c>
      <c r="G285" s="23" t="n">
        <v>6.798957</v>
      </c>
      <c r="H285" s="23" t="n">
        <v>11.929629</v>
      </c>
      <c r="I285" s="23" t="n">
        <v>0.108895</v>
      </c>
      <c r="J285" s="23" t="n">
        <v>15.506152</v>
      </c>
      <c r="K285" s="23" t="n">
        <v>1.707231</v>
      </c>
    </row>
    <row r="286">
      <c r="A286" s="9" t="inlineStr"/>
      <c r="B286" s="11" t="n">
        <v>4</v>
      </c>
      <c r="C286" s="11" t="n">
        <v>20</v>
      </c>
      <c r="D286" s="11" t="n">
        <v>25</v>
      </c>
      <c r="E286" s="20" t="n">
        <v>0.3</v>
      </c>
      <c r="F286" s="21" t="n">
        <v>0.614993</v>
      </c>
      <c r="G286" s="21" t="n">
        <v>7.400911</v>
      </c>
      <c r="H286" s="21" t="n">
        <v>18.923244</v>
      </c>
      <c r="I286" s="21" t="n">
        <v>0.17166</v>
      </c>
      <c r="J286" s="21" t="n">
        <v>14.565457</v>
      </c>
      <c r="K286" s="21" t="n">
        <v>1.685762</v>
      </c>
    </row>
    <row r="287">
      <c r="A287" s="9" t="inlineStr"/>
      <c r="B287" s="11" t="n">
        <v>4</v>
      </c>
      <c r="C287" s="11" t="n">
        <v>30</v>
      </c>
      <c r="D287" s="11" t="n">
        <v>1</v>
      </c>
      <c r="E287" s="20" t="n">
        <v>0.3</v>
      </c>
      <c r="F287" s="21" t="n">
        <v>0.7023</v>
      </c>
      <c r="G287" s="21" t="n">
        <v>6.798957</v>
      </c>
      <c r="H287" s="21" t="n">
        <v>11.929629</v>
      </c>
      <c r="I287" s="21" t="n">
        <v>0.108895</v>
      </c>
      <c r="J287" s="21" t="n">
        <v>15.506152</v>
      </c>
      <c r="K287" s="21" t="n">
        <v>1.707231</v>
      </c>
    </row>
    <row r="288">
      <c r="A288" s="9" t="inlineStr"/>
      <c r="B288" s="11" t="n">
        <v>4</v>
      </c>
      <c r="C288" s="11" t="n">
        <v>40</v>
      </c>
      <c r="D288" s="11" t="n">
        <v>25</v>
      </c>
      <c r="E288" s="20" t="n">
        <v>0.3</v>
      </c>
      <c r="F288" s="21" t="n">
        <v>0.614993</v>
      </c>
      <c r="G288" s="21" t="n">
        <v>7.400911</v>
      </c>
      <c r="H288" s="21" t="n">
        <v>18.923244</v>
      </c>
      <c r="I288" s="21" t="n">
        <v>0.17166</v>
      </c>
      <c r="J288" s="21" t="n">
        <v>14.565457</v>
      </c>
      <c r="K288" s="21" t="n">
        <v>1.685762</v>
      </c>
    </row>
    <row r="289">
      <c r="A289" s="9" t="inlineStr"/>
      <c r="B289" s="11" t="n">
        <v>4</v>
      </c>
      <c r="C289" s="11" t="n">
        <v>50</v>
      </c>
      <c r="D289" s="11" t="n">
        <v>1</v>
      </c>
      <c r="E289" s="20" t="n">
        <v>0.3</v>
      </c>
      <c r="F289" s="21" t="n">
        <v>0.7023</v>
      </c>
      <c r="G289" s="21" t="n">
        <v>6.798957</v>
      </c>
      <c r="H289" s="21" t="n">
        <v>11.929629</v>
      </c>
      <c r="I289" s="21" t="n">
        <v>0.108895</v>
      </c>
      <c r="J289" s="21" t="n">
        <v>15.506152</v>
      </c>
      <c r="K289" s="21" t="n">
        <v>1.707231</v>
      </c>
    </row>
    <row r="290">
      <c r="A290" s="9" t="inlineStr"/>
      <c r="B290" s="11" t="n">
        <v>6</v>
      </c>
      <c r="C290" s="11" t="n">
        <v>10</v>
      </c>
      <c r="D290" s="11" t="n">
        <v>1</v>
      </c>
      <c r="E290" s="20" t="n">
        <v>0.3</v>
      </c>
      <c r="F290" s="21" t="n">
        <v>0.7023</v>
      </c>
      <c r="G290" s="21" t="n">
        <v>6.798957</v>
      </c>
      <c r="H290" s="21" t="n">
        <v>11.929629</v>
      </c>
      <c r="I290" s="21" t="n">
        <v>0.108895</v>
      </c>
      <c r="J290" s="21" t="n">
        <v>15.506152</v>
      </c>
      <c r="K290" s="21" t="n">
        <v>1.707231</v>
      </c>
    </row>
    <row r="291">
      <c r="A291" s="9" t="inlineStr"/>
      <c r="B291" s="11" t="n">
        <v>6</v>
      </c>
      <c r="C291" s="11" t="n">
        <v>20</v>
      </c>
      <c r="D291" s="11" t="n">
        <v>1</v>
      </c>
      <c r="E291" s="20" t="n">
        <v>0.3</v>
      </c>
      <c r="F291" s="21" t="n">
        <v>0.7023</v>
      </c>
      <c r="G291" s="21" t="n">
        <v>6.798957</v>
      </c>
      <c r="H291" s="21" t="n">
        <v>11.929629</v>
      </c>
      <c r="I291" s="21" t="n">
        <v>0.108895</v>
      </c>
      <c r="J291" s="21" t="n">
        <v>15.506152</v>
      </c>
      <c r="K291" s="21" t="n">
        <v>1.707231</v>
      </c>
    </row>
    <row r="292">
      <c r="A292" s="9" t="inlineStr"/>
      <c r="B292" s="11" t="n">
        <v>6</v>
      </c>
      <c r="C292" s="11" t="n">
        <v>30</v>
      </c>
      <c r="D292" s="11" t="n">
        <v>1</v>
      </c>
      <c r="E292" s="20" t="n">
        <v>0.3</v>
      </c>
      <c r="F292" s="21" t="n">
        <v>0.7023</v>
      </c>
      <c r="G292" s="21" t="n">
        <v>6.798957</v>
      </c>
      <c r="H292" s="21" t="n">
        <v>11.929629</v>
      </c>
      <c r="I292" s="21" t="n">
        <v>0.108895</v>
      </c>
      <c r="J292" s="21" t="n">
        <v>15.506152</v>
      </c>
      <c r="K292" s="21" t="n">
        <v>1.707231</v>
      </c>
    </row>
    <row r="293">
      <c r="A293" s="9" t="inlineStr"/>
      <c r="B293" s="11" t="n">
        <v>6</v>
      </c>
      <c r="C293" s="11" t="n">
        <v>40</v>
      </c>
      <c r="D293" s="11" t="n">
        <v>2</v>
      </c>
      <c r="E293" s="20" t="n">
        <v>0.3</v>
      </c>
      <c r="F293" s="21" t="n">
        <v>0.6866449999999999</v>
      </c>
      <c r="G293" s="21" t="n">
        <v>6.852606</v>
      </c>
      <c r="H293" s="21" t="n">
        <v>14.125526</v>
      </c>
      <c r="I293" s="21" t="n">
        <v>0.114783</v>
      </c>
      <c r="J293" s="21" t="n">
        <v>15.439313</v>
      </c>
      <c r="K293" s="21" t="n">
        <v>1.707231</v>
      </c>
    </row>
    <row r="294">
      <c r="A294" s="9" t="inlineStr"/>
      <c r="B294" s="11" t="n">
        <v>6</v>
      </c>
      <c r="C294" s="11" t="n">
        <v>50</v>
      </c>
      <c r="D294" s="11" t="n">
        <v>1</v>
      </c>
      <c r="E294" s="20" t="n">
        <v>0.3</v>
      </c>
      <c r="F294" s="21" t="n">
        <v>0.7023</v>
      </c>
      <c r="G294" s="21" t="n">
        <v>6.798957</v>
      </c>
      <c r="H294" s="21" t="n">
        <v>11.929629</v>
      </c>
      <c r="I294" s="21" t="n">
        <v>0.108895</v>
      </c>
      <c r="J294" s="21" t="n">
        <v>15.506152</v>
      </c>
      <c r="K294" s="21" t="n">
        <v>1.707231</v>
      </c>
    </row>
    <row r="295">
      <c r="A295" s="9" t="inlineStr"/>
      <c r="B295" s="11" t="n">
        <v>8</v>
      </c>
      <c r="C295" s="11" t="n">
        <v>10</v>
      </c>
      <c r="D295" s="11" t="n">
        <v>2</v>
      </c>
      <c r="E295" s="20" t="n">
        <v>0.3</v>
      </c>
      <c r="F295" s="21" t="n">
        <v>0.6866449999999999</v>
      </c>
      <c r="G295" s="21" t="n">
        <v>6.852606</v>
      </c>
      <c r="H295" s="21" t="n">
        <v>14.125526</v>
      </c>
      <c r="I295" s="21" t="n">
        <v>0.114783</v>
      </c>
      <c r="J295" s="21" t="n">
        <v>15.439313</v>
      </c>
      <c r="K295" s="21" t="n">
        <v>1.707231</v>
      </c>
    </row>
    <row r="296">
      <c r="A296" s="9" t="inlineStr"/>
      <c r="B296" s="11" t="n">
        <v>8</v>
      </c>
      <c r="C296" s="11" t="n">
        <v>20</v>
      </c>
      <c r="D296" s="11" t="n">
        <v>1</v>
      </c>
      <c r="E296" s="20" t="n">
        <v>0.3</v>
      </c>
      <c r="F296" s="21" t="n">
        <v>0.7023</v>
      </c>
      <c r="G296" s="21" t="n">
        <v>6.798957</v>
      </c>
      <c r="H296" s="21" t="n">
        <v>11.929629</v>
      </c>
      <c r="I296" s="21" t="n">
        <v>0.108895</v>
      </c>
      <c r="J296" s="21" t="n">
        <v>15.506152</v>
      </c>
      <c r="K296" s="21" t="n">
        <v>1.707231</v>
      </c>
    </row>
    <row r="297">
      <c r="A297" s="9" t="inlineStr"/>
      <c r="B297" s="11" t="n">
        <v>8</v>
      </c>
      <c r="C297" s="11" t="n">
        <v>30</v>
      </c>
      <c r="D297" s="11" t="n">
        <v>25</v>
      </c>
      <c r="E297" s="20" t="n">
        <v>0.3</v>
      </c>
      <c r="F297" s="21" t="n">
        <v>0.614993</v>
      </c>
      <c r="G297" s="21" t="n">
        <v>7.400911</v>
      </c>
      <c r="H297" s="21" t="n">
        <v>18.923244</v>
      </c>
      <c r="I297" s="21" t="n">
        <v>0.17166</v>
      </c>
      <c r="J297" s="21" t="n">
        <v>14.565457</v>
      </c>
      <c r="K297" s="21" t="n">
        <v>1.685762</v>
      </c>
    </row>
    <row r="298">
      <c r="A298" s="9" t="inlineStr"/>
      <c r="B298" s="11" t="n">
        <v>8</v>
      </c>
      <c r="C298" s="11" t="n">
        <v>40</v>
      </c>
      <c r="D298" s="11" t="n">
        <v>25</v>
      </c>
      <c r="E298" s="20" t="n">
        <v>0.3</v>
      </c>
      <c r="F298" s="21" t="n">
        <v>0.614993</v>
      </c>
      <c r="G298" s="21" t="n">
        <v>7.400911</v>
      </c>
      <c r="H298" s="21" t="n">
        <v>18.923244</v>
      </c>
      <c r="I298" s="21" t="n">
        <v>0.17166</v>
      </c>
      <c r="J298" s="21" t="n">
        <v>14.565457</v>
      </c>
      <c r="K298" s="21" t="n">
        <v>1.685762</v>
      </c>
    </row>
    <row r="299">
      <c r="A299" s="9" t="inlineStr"/>
      <c r="B299" s="11" t="n">
        <v>8</v>
      </c>
      <c r="C299" s="11" t="n">
        <v>50</v>
      </c>
      <c r="D299" s="11" t="n">
        <v>25</v>
      </c>
      <c r="E299" s="20" t="n">
        <v>0.3</v>
      </c>
      <c r="F299" s="21" t="n">
        <v>0.614993</v>
      </c>
      <c r="G299" s="21" t="n">
        <v>7.400911</v>
      </c>
      <c r="H299" s="21" t="n">
        <v>18.923244</v>
      </c>
      <c r="I299" s="21" t="n">
        <v>0.17166</v>
      </c>
      <c r="J299" s="21" t="n">
        <v>14.565457</v>
      </c>
      <c r="K299" s="21" t="n">
        <v>1.685762</v>
      </c>
    </row>
    <row r="300">
      <c r="A300" s="9" t="inlineStr"/>
      <c r="B300" s="11" t="n">
        <v>10</v>
      </c>
      <c r="C300" s="11" t="n">
        <v>10</v>
      </c>
      <c r="D300" s="11" t="n">
        <v>25</v>
      </c>
      <c r="E300" s="20" t="n">
        <v>0.3</v>
      </c>
      <c r="F300" s="21" t="n">
        <v>0.614993</v>
      </c>
      <c r="G300" s="21" t="n">
        <v>7.400911</v>
      </c>
      <c r="H300" s="21" t="n">
        <v>18.923244</v>
      </c>
      <c r="I300" s="21" t="n">
        <v>0.17166</v>
      </c>
      <c r="J300" s="21" t="n">
        <v>14.565457</v>
      </c>
      <c r="K300" s="21" t="n">
        <v>1.685762</v>
      </c>
    </row>
    <row r="301">
      <c r="A301" s="9" t="inlineStr"/>
      <c r="B301" s="11" t="n">
        <v>10</v>
      </c>
      <c r="C301" s="11" t="n">
        <v>20</v>
      </c>
      <c r="D301" s="11" t="n">
        <v>25</v>
      </c>
      <c r="E301" s="20" t="n">
        <v>0.3</v>
      </c>
      <c r="F301" s="21" t="n">
        <v>0.614993</v>
      </c>
      <c r="G301" s="21" t="n">
        <v>7.400911</v>
      </c>
      <c r="H301" s="21" t="n">
        <v>18.923244</v>
      </c>
      <c r="I301" s="21" t="n">
        <v>0.17166</v>
      </c>
      <c r="J301" s="21" t="n">
        <v>14.565457</v>
      </c>
      <c r="K301" s="21" t="n">
        <v>1.685762</v>
      </c>
    </row>
    <row r="302">
      <c r="A302" s="9" t="inlineStr"/>
      <c r="B302" s="11" t="n">
        <v>10</v>
      </c>
      <c r="C302" s="11" t="n">
        <v>30</v>
      </c>
      <c r="D302" s="11" t="n">
        <v>1</v>
      </c>
      <c r="E302" s="20" t="n">
        <v>0.3</v>
      </c>
      <c r="F302" s="21" t="n">
        <v>0.7023</v>
      </c>
      <c r="G302" s="21" t="n">
        <v>6.798957</v>
      </c>
      <c r="H302" s="21" t="n">
        <v>11.929629</v>
      </c>
      <c r="I302" s="21" t="n">
        <v>0.108895</v>
      </c>
      <c r="J302" s="21" t="n">
        <v>15.506152</v>
      </c>
      <c r="K302" s="21" t="n">
        <v>1.707231</v>
      </c>
    </row>
    <row r="303">
      <c r="A303" s="9" t="inlineStr"/>
      <c r="B303" s="11" t="n">
        <v>10</v>
      </c>
      <c r="C303" s="11" t="n">
        <v>40</v>
      </c>
      <c r="D303" s="11" t="n">
        <v>25</v>
      </c>
      <c r="E303" s="20" t="n">
        <v>0.3</v>
      </c>
      <c r="F303" s="21" t="n">
        <v>0.614993</v>
      </c>
      <c r="G303" s="21" t="n">
        <v>7.400911</v>
      </c>
      <c r="H303" s="21" t="n">
        <v>18.923244</v>
      </c>
      <c r="I303" s="21" t="n">
        <v>0.17166</v>
      </c>
      <c r="J303" s="21" t="n">
        <v>14.565457</v>
      </c>
      <c r="K303" s="21" t="n">
        <v>1.685762</v>
      </c>
    </row>
    <row r="304">
      <c r="A304" s="9" t="inlineStr"/>
      <c r="B304" s="11" t="n">
        <v>10</v>
      </c>
      <c r="C304" s="11" t="n">
        <v>50</v>
      </c>
      <c r="D304" s="11" t="n">
        <v>25</v>
      </c>
      <c r="E304" s="20" t="n">
        <v>0.3</v>
      </c>
      <c r="F304" s="21" t="n">
        <v>0.614993</v>
      </c>
      <c r="G304" s="21" t="n">
        <v>7.400911</v>
      </c>
      <c r="H304" s="21" t="n">
        <v>18.923244</v>
      </c>
      <c r="I304" s="21" t="n">
        <v>0.17166</v>
      </c>
      <c r="J304" s="21" t="n">
        <v>14.565457</v>
      </c>
      <c r="K304" s="21" t="n">
        <v>1.685762</v>
      </c>
    </row>
    <row r="305">
      <c r="A305" s="8" t="inlineStr">
        <is>
          <t>Athena_soldier_behind_smoke_1_meting012-1200</t>
        </is>
      </c>
      <c r="B305" s="13" t="n">
        <v>2</v>
      </c>
      <c r="C305" s="13" t="n">
        <v>10</v>
      </c>
      <c r="D305" s="13" t="n">
        <v>1</v>
      </c>
      <c r="E305" s="22" t="n">
        <v>0.3</v>
      </c>
      <c r="F305" s="23" t="n">
        <v>0.683759</v>
      </c>
      <c r="G305" s="23" t="n">
        <v>6.967426</v>
      </c>
      <c r="H305" s="23" t="n">
        <v>11.591885</v>
      </c>
      <c r="I305" s="23" t="n">
        <v>0.136832</v>
      </c>
      <c r="J305" s="23" t="n">
        <v>13.633462</v>
      </c>
      <c r="K305" s="23" t="n">
        <v>1.691022</v>
      </c>
    </row>
    <row r="306">
      <c r="A306" s="9" t="inlineStr"/>
      <c r="B306" s="11" t="n">
        <v>2</v>
      </c>
      <c r="C306" s="11" t="n">
        <v>20</v>
      </c>
      <c r="D306" s="11" t="n">
        <v>1</v>
      </c>
      <c r="E306" s="20" t="n">
        <v>0.3</v>
      </c>
      <c r="F306" s="21" t="n">
        <v>0.683759</v>
      </c>
      <c r="G306" s="21" t="n">
        <v>6.967426</v>
      </c>
      <c r="H306" s="21" t="n">
        <v>11.591885</v>
      </c>
      <c r="I306" s="21" t="n">
        <v>0.136832</v>
      </c>
      <c r="J306" s="21" t="n">
        <v>13.633462</v>
      </c>
      <c r="K306" s="21" t="n">
        <v>1.691022</v>
      </c>
    </row>
    <row r="307">
      <c r="A307" s="9" t="inlineStr"/>
      <c r="B307" s="11" t="n">
        <v>2</v>
      </c>
      <c r="C307" s="11" t="n">
        <v>30</v>
      </c>
      <c r="D307" s="11" t="n">
        <v>1</v>
      </c>
      <c r="E307" s="20" t="n">
        <v>0.3131</v>
      </c>
      <c r="F307" s="21" t="n">
        <v>0.682227</v>
      </c>
      <c r="G307" s="21" t="n">
        <v>6.96912</v>
      </c>
      <c r="H307" s="21" t="n">
        <v>11.776313</v>
      </c>
      <c r="I307" s="21" t="n">
        <v>0.136941</v>
      </c>
      <c r="J307" s="21" t="n">
        <v>13.631986</v>
      </c>
      <c r="K307" s="21" t="n">
        <v>1.689686</v>
      </c>
    </row>
    <row r="308">
      <c r="A308" s="9" t="inlineStr"/>
      <c r="B308" s="11" t="n">
        <v>2</v>
      </c>
      <c r="C308" s="11" t="n">
        <v>40</v>
      </c>
      <c r="D308" s="11" t="n">
        <v>25</v>
      </c>
      <c r="E308" s="20" t="n">
        <v>0.3</v>
      </c>
      <c r="F308" s="21" t="n">
        <v>0.583524</v>
      </c>
      <c r="G308" s="21" t="n">
        <v>7.407545</v>
      </c>
      <c r="H308" s="21" t="n">
        <v>17.185171</v>
      </c>
      <c r="I308" s="21" t="n">
        <v>0.175392</v>
      </c>
      <c r="J308" s="21" t="n">
        <v>13.180211</v>
      </c>
      <c r="K308" s="21" t="n">
        <v>1.641269</v>
      </c>
    </row>
    <row r="309">
      <c r="A309" s="9" t="inlineStr"/>
      <c r="B309" s="11" t="n">
        <v>2</v>
      </c>
      <c r="C309" s="11" t="n">
        <v>50</v>
      </c>
      <c r="D309" s="11" t="n">
        <v>1</v>
      </c>
      <c r="E309" s="20" t="n">
        <v>0.3</v>
      </c>
      <c r="F309" s="21" t="n">
        <v>0.683759</v>
      </c>
      <c r="G309" s="21" t="n">
        <v>6.967426</v>
      </c>
      <c r="H309" s="21" t="n">
        <v>11.591885</v>
      </c>
      <c r="I309" s="21" t="n">
        <v>0.136832</v>
      </c>
      <c r="J309" s="21" t="n">
        <v>13.633462</v>
      </c>
      <c r="K309" s="21" t="n">
        <v>1.691022</v>
      </c>
    </row>
    <row r="310">
      <c r="A310" s="9" t="inlineStr"/>
      <c r="B310" s="11" t="n">
        <v>4</v>
      </c>
      <c r="C310" s="11" t="n">
        <v>10</v>
      </c>
      <c r="D310" s="11" t="n">
        <v>1</v>
      </c>
      <c r="E310" s="20" t="n">
        <v>0.3</v>
      </c>
      <c r="F310" s="21" t="n">
        <v>0.683759</v>
      </c>
      <c r="G310" s="21" t="n">
        <v>6.967426</v>
      </c>
      <c r="H310" s="21" t="n">
        <v>11.591885</v>
      </c>
      <c r="I310" s="21" t="n">
        <v>0.136832</v>
      </c>
      <c r="J310" s="21" t="n">
        <v>13.633462</v>
      </c>
      <c r="K310" s="21" t="n">
        <v>1.691022</v>
      </c>
    </row>
    <row r="311">
      <c r="A311" s="9" t="inlineStr"/>
      <c r="B311" s="11" t="n">
        <v>4</v>
      </c>
      <c r="C311" s="11" t="n">
        <v>20</v>
      </c>
      <c r="D311" s="11" t="n">
        <v>1</v>
      </c>
      <c r="E311" s="20" t="n">
        <v>0.3</v>
      </c>
      <c r="F311" s="21" t="n">
        <v>0.683759</v>
      </c>
      <c r="G311" s="21" t="n">
        <v>6.967426</v>
      </c>
      <c r="H311" s="21" t="n">
        <v>11.591885</v>
      </c>
      <c r="I311" s="21" t="n">
        <v>0.136832</v>
      </c>
      <c r="J311" s="21" t="n">
        <v>13.633462</v>
      </c>
      <c r="K311" s="21" t="n">
        <v>1.691022</v>
      </c>
    </row>
    <row r="312">
      <c r="A312" s="9" t="inlineStr"/>
      <c r="B312" s="11" t="n">
        <v>4</v>
      </c>
      <c r="C312" s="11" t="n">
        <v>30</v>
      </c>
      <c r="D312" s="11" t="n">
        <v>1</v>
      </c>
      <c r="E312" s="20" t="n">
        <v>0.3</v>
      </c>
      <c r="F312" s="21" t="n">
        <v>0.683759</v>
      </c>
      <c r="G312" s="21" t="n">
        <v>6.967426</v>
      </c>
      <c r="H312" s="21" t="n">
        <v>11.591885</v>
      </c>
      <c r="I312" s="21" t="n">
        <v>0.136832</v>
      </c>
      <c r="J312" s="21" t="n">
        <v>13.633462</v>
      </c>
      <c r="K312" s="21" t="n">
        <v>1.691022</v>
      </c>
    </row>
    <row r="313">
      <c r="A313" s="9" t="inlineStr"/>
      <c r="B313" s="11" t="n">
        <v>4</v>
      </c>
      <c r="C313" s="11" t="n">
        <v>40</v>
      </c>
      <c r="D313" s="11" t="n">
        <v>1</v>
      </c>
      <c r="E313" s="20" t="n">
        <v>0.3</v>
      </c>
      <c r="F313" s="21" t="n">
        <v>0.683759</v>
      </c>
      <c r="G313" s="21" t="n">
        <v>6.967426</v>
      </c>
      <c r="H313" s="21" t="n">
        <v>11.591885</v>
      </c>
      <c r="I313" s="21" t="n">
        <v>0.136832</v>
      </c>
      <c r="J313" s="21" t="n">
        <v>13.633462</v>
      </c>
      <c r="K313" s="21" t="n">
        <v>1.691022</v>
      </c>
    </row>
    <row r="314">
      <c r="A314" s="9" t="inlineStr"/>
      <c r="B314" s="11" t="n">
        <v>4</v>
      </c>
      <c r="C314" s="11" t="n">
        <v>50</v>
      </c>
      <c r="D314" s="11" t="n">
        <v>20</v>
      </c>
      <c r="E314" s="20" t="n">
        <v>0.3</v>
      </c>
      <c r="F314" s="21" t="n">
        <v>0.589682</v>
      </c>
      <c r="G314" s="21" t="n">
        <v>7.360028</v>
      </c>
      <c r="H314" s="21" t="n">
        <v>17.034841</v>
      </c>
      <c r="I314" s="21" t="n">
        <v>0.169994</v>
      </c>
      <c r="J314" s="21" t="n">
        <v>13.249119</v>
      </c>
      <c r="K314" s="21" t="n">
        <v>1.642503</v>
      </c>
    </row>
    <row r="315">
      <c r="A315" s="9" t="inlineStr"/>
      <c r="B315" s="11" t="n">
        <v>6</v>
      </c>
      <c r="C315" s="11" t="n">
        <v>10</v>
      </c>
      <c r="D315" s="11" t="n">
        <v>1</v>
      </c>
      <c r="E315" s="20" t="n">
        <v>0.3</v>
      </c>
      <c r="F315" s="21" t="n">
        <v>0.683759</v>
      </c>
      <c r="G315" s="21" t="n">
        <v>6.967426</v>
      </c>
      <c r="H315" s="21" t="n">
        <v>11.591885</v>
      </c>
      <c r="I315" s="21" t="n">
        <v>0.136832</v>
      </c>
      <c r="J315" s="21" t="n">
        <v>13.633462</v>
      </c>
      <c r="K315" s="21" t="n">
        <v>1.691022</v>
      </c>
    </row>
    <row r="316">
      <c r="A316" s="9" t="inlineStr"/>
      <c r="B316" s="11" t="n">
        <v>6</v>
      </c>
      <c r="C316" s="11" t="n">
        <v>20</v>
      </c>
      <c r="D316" s="11" t="n">
        <v>25</v>
      </c>
      <c r="E316" s="20" t="n">
        <v>0.3</v>
      </c>
      <c r="F316" s="21" t="n">
        <v>0.583524</v>
      </c>
      <c r="G316" s="21" t="n">
        <v>7.407545</v>
      </c>
      <c r="H316" s="21" t="n">
        <v>17.185171</v>
      </c>
      <c r="I316" s="21" t="n">
        <v>0.175392</v>
      </c>
      <c r="J316" s="21" t="n">
        <v>13.180211</v>
      </c>
      <c r="K316" s="21" t="n">
        <v>1.641269</v>
      </c>
    </row>
    <row r="317">
      <c r="A317" s="9" t="inlineStr"/>
      <c r="B317" s="11" t="n">
        <v>6</v>
      </c>
      <c r="C317" s="11" t="n">
        <v>30</v>
      </c>
      <c r="D317" s="11" t="n">
        <v>20</v>
      </c>
      <c r="E317" s="20" t="n">
        <v>0.3</v>
      </c>
      <c r="F317" s="21" t="n">
        <v>0.589682</v>
      </c>
      <c r="G317" s="21" t="n">
        <v>7.360028</v>
      </c>
      <c r="H317" s="21" t="n">
        <v>17.034841</v>
      </c>
      <c r="I317" s="21" t="n">
        <v>0.169994</v>
      </c>
      <c r="J317" s="21" t="n">
        <v>13.249119</v>
      </c>
      <c r="K317" s="21" t="n">
        <v>1.642503</v>
      </c>
    </row>
    <row r="318">
      <c r="A318" s="9" t="inlineStr"/>
      <c r="B318" s="11" t="n">
        <v>6</v>
      </c>
      <c r="C318" s="11" t="n">
        <v>40</v>
      </c>
      <c r="D318" s="11" t="n">
        <v>20</v>
      </c>
      <c r="E318" s="20" t="n">
        <v>0.3</v>
      </c>
      <c r="F318" s="21" t="n">
        <v>0.589682</v>
      </c>
      <c r="G318" s="21" t="n">
        <v>7.360028</v>
      </c>
      <c r="H318" s="21" t="n">
        <v>17.034841</v>
      </c>
      <c r="I318" s="21" t="n">
        <v>0.169994</v>
      </c>
      <c r="J318" s="21" t="n">
        <v>13.249119</v>
      </c>
      <c r="K318" s="21" t="n">
        <v>1.642503</v>
      </c>
    </row>
    <row r="319">
      <c r="A319" s="9" t="inlineStr"/>
      <c r="B319" s="11" t="n">
        <v>6</v>
      </c>
      <c r="C319" s="11" t="n">
        <v>50</v>
      </c>
      <c r="D319" s="11" t="n">
        <v>1</v>
      </c>
      <c r="E319" s="20" t="n">
        <v>0.3</v>
      </c>
      <c r="F319" s="21" t="n">
        <v>0.683759</v>
      </c>
      <c r="G319" s="21" t="n">
        <v>6.967426</v>
      </c>
      <c r="H319" s="21" t="n">
        <v>11.591885</v>
      </c>
      <c r="I319" s="21" t="n">
        <v>0.136832</v>
      </c>
      <c r="J319" s="21" t="n">
        <v>13.633462</v>
      </c>
      <c r="K319" s="21" t="n">
        <v>1.691022</v>
      </c>
    </row>
    <row r="320">
      <c r="A320" s="9" t="inlineStr"/>
      <c r="B320" s="11" t="n">
        <v>8</v>
      </c>
      <c r="C320" s="11" t="n">
        <v>10</v>
      </c>
      <c r="D320" s="11" t="n">
        <v>20</v>
      </c>
      <c r="E320" s="20" t="n">
        <v>0.3</v>
      </c>
      <c r="F320" s="21" t="n">
        <v>0.589682</v>
      </c>
      <c r="G320" s="21" t="n">
        <v>7.360028</v>
      </c>
      <c r="H320" s="21" t="n">
        <v>17.034841</v>
      </c>
      <c r="I320" s="21" t="n">
        <v>0.169994</v>
      </c>
      <c r="J320" s="21" t="n">
        <v>13.249119</v>
      </c>
      <c r="K320" s="21" t="n">
        <v>1.642503</v>
      </c>
    </row>
    <row r="321">
      <c r="A321" s="9" t="inlineStr"/>
      <c r="B321" s="11" t="n">
        <v>8</v>
      </c>
      <c r="C321" s="11" t="n">
        <v>20</v>
      </c>
      <c r="D321" s="11" t="n">
        <v>1</v>
      </c>
      <c r="E321" s="20" t="n">
        <v>0.3</v>
      </c>
      <c r="F321" s="21" t="n">
        <v>0.683759</v>
      </c>
      <c r="G321" s="21" t="n">
        <v>6.967426</v>
      </c>
      <c r="H321" s="21" t="n">
        <v>11.591885</v>
      </c>
      <c r="I321" s="21" t="n">
        <v>0.136832</v>
      </c>
      <c r="J321" s="21" t="n">
        <v>13.633462</v>
      </c>
      <c r="K321" s="21" t="n">
        <v>1.691022</v>
      </c>
    </row>
    <row r="322">
      <c r="A322" s="9" t="inlineStr"/>
      <c r="B322" s="11" t="n">
        <v>8</v>
      </c>
      <c r="C322" s="11" t="n">
        <v>30</v>
      </c>
      <c r="D322" s="11" t="n">
        <v>1</v>
      </c>
      <c r="E322" s="20" t="n">
        <v>0.3</v>
      </c>
      <c r="F322" s="21" t="n">
        <v>0.683759</v>
      </c>
      <c r="G322" s="21" t="n">
        <v>6.967426</v>
      </c>
      <c r="H322" s="21" t="n">
        <v>11.591885</v>
      </c>
      <c r="I322" s="21" t="n">
        <v>0.136832</v>
      </c>
      <c r="J322" s="21" t="n">
        <v>13.633462</v>
      </c>
      <c r="K322" s="21" t="n">
        <v>1.691022</v>
      </c>
    </row>
    <row r="323">
      <c r="A323" s="9" t="inlineStr"/>
      <c r="B323" s="11" t="n">
        <v>8</v>
      </c>
      <c r="C323" s="11" t="n">
        <v>40</v>
      </c>
      <c r="D323" s="11" t="n">
        <v>1</v>
      </c>
      <c r="E323" s="20" t="n">
        <v>0.3</v>
      </c>
      <c r="F323" s="21" t="n">
        <v>0.683759</v>
      </c>
      <c r="G323" s="21" t="n">
        <v>6.967426</v>
      </c>
      <c r="H323" s="21" t="n">
        <v>11.591885</v>
      </c>
      <c r="I323" s="21" t="n">
        <v>0.136832</v>
      </c>
      <c r="J323" s="21" t="n">
        <v>13.633462</v>
      </c>
      <c r="K323" s="21" t="n">
        <v>1.691022</v>
      </c>
    </row>
    <row r="324">
      <c r="A324" s="9" t="inlineStr"/>
      <c r="B324" s="11" t="n">
        <v>8</v>
      </c>
      <c r="C324" s="11" t="n">
        <v>50</v>
      </c>
      <c r="D324" s="11" t="n">
        <v>1</v>
      </c>
      <c r="E324" s="20" t="n">
        <v>0.3</v>
      </c>
      <c r="F324" s="21" t="n">
        <v>0.683759</v>
      </c>
      <c r="G324" s="21" t="n">
        <v>6.967426</v>
      </c>
      <c r="H324" s="21" t="n">
        <v>11.591885</v>
      </c>
      <c r="I324" s="21" t="n">
        <v>0.136832</v>
      </c>
      <c r="J324" s="21" t="n">
        <v>13.633462</v>
      </c>
      <c r="K324" s="21" t="n">
        <v>1.691022</v>
      </c>
    </row>
    <row r="325">
      <c r="A325" s="9" t="inlineStr"/>
      <c r="B325" s="11" t="n">
        <v>10</v>
      </c>
      <c r="C325" s="11" t="n">
        <v>10</v>
      </c>
      <c r="D325" s="11" t="n">
        <v>1</v>
      </c>
      <c r="E325" s="20" t="n">
        <v>0.3</v>
      </c>
      <c r="F325" s="21" t="n">
        <v>0.683759</v>
      </c>
      <c r="G325" s="21" t="n">
        <v>6.967426</v>
      </c>
      <c r="H325" s="21" t="n">
        <v>11.591885</v>
      </c>
      <c r="I325" s="21" t="n">
        <v>0.136832</v>
      </c>
      <c r="J325" s="21" t="n">
        <v>13.633462</v>
      </c>
      <c r="K325" s="21" t="n">
        <v>1.691022</v>
      </c>
    </row>
    <row r="326">
      <c r="A326" s="9" t="inlineStr"/>
      <c r="B326" s="11" t="n">
        <v>10</v>
      </c>
      <c r="C326" s="11" t="n">
        <v>20</v>
      </c>
      <c r="D326" s="11" t="n">
        <v>1</v>
      </c>
      <c r="E326" s="20" t="n">
        <v>0.3</v>
      </c>
      <c r="F326" s="21" t="n">
        <v>0.683759</v>
      </c>
      <c r="G326" s="21" t="n">
        <v>6.967426</v>
      </c>
      <c r="H326" s="21" t="n">
        <v>11.591885</v>
      </c>
      <c r="I326" s="21" t="n">
        <v>0.136832</v>
      </c>
      <c r="J326" s="21" t="n">
        <v>13.633462</v>
      </c>
      <c r="K326" s="21" t="n">
        <v>1.691022</v>
      </c>
    </row>
    <row r="327">
      <c r="A327" s="9" t="inlineStr"/>
      <c r="B327" s="11" t="n">
        <v>10</v>
      </c>
      <c r="C327" s="11" t="n">
        <v>30</v>
      </c>
      <c r="D327" s="11" t="n">
        <v>1</v>
      </c>
      <c r="E327" s="20" t="n">
        <v>0.3</v>
      </c>
      <c r="F327" s="21" t="n">
        <v>0.683759</v>
      </c>
      <c r="G327" s="21" t="n">
        <v>6.967426</v>
      </c>
      <c r="H327" s="21" t="n">
        <v>11.591885</v>
      </c>
      <c r="I327" s="21" t="n">
        <v>0.136832</v>
      </c>
      <c r="J327" s="21" t="n">
        <v>13.633462</v>
      </c>
      <c r="K327" s="21" t="n">
        <v>1.691022</v>
      </c>
    </row>
    <row r="328">
      <c r="A328" s="9" t="inlineStr"/>
      <c r="B328" s="11" t="n">
        <v>10</v>
      </c>
      <c r="C328" s="11" t="n">
        <v>40</v>
      </c>
      <c r="D328" s="11" t="n">
        <v>1</v>
      </c>
      <c r="E328" s="20" t="n">
        <v>0.3</v>
      </c>
      <c r="F328" s="21" t="n">
        <v>0.683759</v>
      </c>
      <c r="G328" s="21" t="n">
        <v>6.967426</v>
      </c>
      <c r="H328" s="21" t="n">
        <v>11.591885</v>
      </c>
      <c r="I328" s="21" t="n">
        <v>0.136832</v>
      </c>
      <c r="J328" s="21" t="n">
        <v>13.633462</v>
      </c>
      <c r="K328" s="21" t="n">
        <v>1.691022</v>
      </c>
    </row>
    <row r="329">
      <c r="A329" s="9" t="inlineStr"/>
      <c r="B329" s="11" t="n">
        <v>10</v>
      </c>
      <c r="C329" s="11" t="n">
        <v>50</v>
      </c>
      <c r="D329" s="11" t="n">
        <v>1</v>
      </c>
      <c r="E329" s="20" t="n">
        <v>0.3</v>
      </c>
      <c r="F329" s="21" t="n">
        <v>0.683759</v>
      </c>
      <c r="G329" s="21" t="n">
        <v>6.967426</v>
      </c>
      <c r="H329" s="21" t="n">
        <v>11.591885</v>
      </c>
      <c r="I329" s="21" t="n">
        <v>0.136832</v>
      </c>
      <c r="J329" s="21" t="n">
        <v>13.633462</v>
      </c>
      <c r="K329" s="21" t="n">
        <v>1.691022</v>
      </c>
    </row>
    <row r="330">
      <c r="A330" s="8" t="inlineStr">
        <is>
          <t>Athena_soldier_behind_smoke_2_meting012-1500</t>
        </is>
      </c>
      <c r="B330" s="11" t="n">
        <v>2</v>
      </c>
      <c r="C330" s="11" t="n">
        <v>10</v>
      </c>
      <c r="D330" s="11" t="n">
        <v>25</v>
      </c>
      <c r="E330" s="20" t="n">
        <v>0.3</v>
      </c>
      <c r="F330" s="21" t="n">
        <v>0.604303</v>
      </c>
      <c r="G330" s="21" t="n">
        <v>7.224166</v>
      </c>
      <c r="H330" s="21" t="n">
        <v>15.283938</v>
      </c>
      <c r="I330" s="21" t="n">
        <v>0.157211</v>
      </c>
      <c r="J330" s="21" t="n">
        <v>11.120068</v>
      </c>
      <c r="K330" s="21" t="n">
        <v>1.618525</v>
      </c>
    </row>
    <row r="331">
      <c r="A331" s="9" t="inlineStr"/>
      <c r="B331" s="11" t="n">
        <v>2</v>
      </c>
      <c r="C331" s="11" t="n">
        <v>20</v>
      </c>
      <c r="D331" s="11" t="n">
        <v>20</v>
      </c>
      <c r="E331" s="20" t="n">
        <v>0.3</v>
      </c>
      <c r="F331" s="21" t="n">
        <v>0.605303</v>
      </c>
      <c r="G331" s="21" t="n">
        <v>7.195717</v>
      </c>
      <c r="H331" s="21" t="n">
        <v>15.40259</v>
      </c>
      <c r="I331" s="21" t="n">
        <v>0.154252</v>
      </c>
      <c r="J331" s="21" t="n">
        <v>11.136104</v>
      </c>
      <c r="K331" s="21" t="n">
        <v>1.615762</v>
      </c>
    </row>
    <row r="332">
      <c r="A332" s="9" t="inlineStr"/>
      <c r="B332" s="13" t="n">
        <v>2</v>
      </c>
      <c r="C332" s="13" t="n">
        <v>30</v>
      </c>
      <c r="D332" s="13" t="n">
        <v>1</v>
      </c>
      <c r="E332" s="22" t="n">
        <v>0.3</v>
      </c>
      <c r="F332" s="23" t="n">
        <v>0.684989</v>
      </c>
      <c r="G332" s="23" t="n">
        <v>6.925157</v>
      </c>
      <c r="H332" s="23" t="n">
        <v>11.928263</v>
      </c>
      <c r="I332" s="23" t="n">
        <v>0.131752</v>
      </c>
      <c r="J332" s="23" t="n">
        <v>11.243195</v>
      </c>
      <c r="K332" s="23" t="n">
        <v>1.663065</v>
      </c>
    </row>
    <row r="333">
      <c r="A333" s="9" t="inlineStr"/>
      <c r="B333" s="11" t="n">
        <v>2</v>
      </c>
      <c r="C333" s="11" t="n">
        <v>40</v>
      </c>
      <c r="D333" s="11" t="n">
        <v>25</v>
      </c>
      <c r="E333" s="20" t="n">
        <v>0.3</v>
      </c>
      <c r="F333" s="21" t="n">
        <v>0.604303</v>
      </c>
      <c r="G333" s="21" t="n">
        <v>7.224166</v>
      </c>
      <c r="H333" s="21" t="n">
        <v>15.283938</v>
      </c>
      <c r="I333" s="21" t="n">
        <v>0.157211</v>
      </c>
      <c r="J333" s="21" t="n">
        <v>11.120068</v>
      </c>
      <c r="K333" s="21" t="n">
        <v>1.618525</v>
      </c>
    </row>
    <row r="334">
      <c r="A334" s="9" t="inlineStr"/>
      <c r="B334" s="11" t="n">
        <v>2</v>
      </c>
      <c r="C334" s="11" t="n">
        <v>50</v>
      </c>
      <c r="D334" s="11" t="n">
        <v>25</v>
      </c>
      <c r="E334" s="20" t="n">
        <v>0.3</v>
      </c>
      <c r="F334" s="21" t="n">
        <v>0.604303</v>
      </c>
      <c r="G334" s="21" t="n">
        <v>7.224166</v>
      </c>
      <c r="H334" s="21" t="n">
        <v>15.283938</v>
      </c>
      <c r="I334" s="21" t="n">
        <v>0.157211</v>
      </c>
      <c r="J334" s="21" t="n">
        <v>11.120068</v>
      </c>
      <c r="K334" s="21" t="n">
        <v>1.618525</v>
      </c>
    </row>
    <row r="335">
      <c r="A335" s="9" t="inlineStr"/>
      <c r="B335" s="11" t="n">
        <v>4</v>
      </c>
      <c r="C335" s="11" t="n">
        <v>10</v>
      </c>
      <c r="D335" s="11" t="n">
        <v>25</v>
      </c>
      <c r="E335" s="20" t="n">
        <v>0.3</v>
      </c>
      <c r="F335" s="21" t="n">
        <v>0.604303</v>
      </c>
      <c r="G335" s="21" t="n">
        <v>7.224166</v>
      </c>
      <c r="H335" s="21" t="n">
        <v>15.283938</v>
      </c>
      <c r="I335" s="21" t="n">
        <v>0.157211</v>
      </c>
      <c r="J335" s="21" t="n">
        <v>11.120068</v>
      </c>
      <c r="K335" s="21" t="n">
        <v>1.618525</v>
      </c>
    </row>
    <row r="336">
      <c r="A336" s="9" t="inlineStr"/>
      <c r="B336" s="11" t="n">
        <v>4</v>
      </c>
      <c r="C336" s="11" t="n">
        <v>20</v>
      </c>
      <c r="D336" s="11" t="n">
        <v>25</v>
      </c>
      <c r="E336" s="20" t="n">
        <v>0.3</v>
      </c>
      <c r="F336" s="21" t="n">
        <v>0.604303</v>
      </c>
      <c r="G336" s="21" t="n">
        <v>7.224166</v>
      </c>
      <c r="H336" s="21" t="n">
        <v>15.283938</v>
      </c>
      <c r="I336" s="21" t="n">
        <v>0.157211</v>
      </c>
      <c r="J336" s="21" t="n">
        <v>11.120068</v>
      </c>
      <c r="K336" s="21" t="n">
        <v>1.618525</v>
      </c>
    </row>
    <row r="337">
      <c r="A337" s="9" t="inlineStr"/>
      <c r="B337" s="11" t="n">
        <v>4</v>
      </c>
      <c r="C337" s="11" t="n">
        <v>30</v>
      </c>
      <c r="D337" s="11" t="n">
        <v>1</v>
      </c>
      <c r="E337" s="20" t="n">
        <v>0.3</v>
      </c>
      <c r="F337" s="21" t="n">
        <v>0.684989</v>
      </c>
      <c r="G337" s="21" t="n">
        <v>6.925157</v>
      </c>
      <c r="H337" s="21" t="n">
        <v>11.928263</v>
      </c>
      <c r="I337" s="21" t="n">
        <v>0.131752</v>
      </c>
      <c r="J337" s="21" t="n">
        <v>11.243195</v>
      </c>
      <c r="K337" s="21" t="n">
        <v>1.663065</v>
      </c>
    </row>
    <row r="338">
      <c r="A338" s="9" t="inlineStr"/>
      <c r="B338" s="11" t="n">
        <v>4</v>
      </c>
      <c r="C338" s="11" t="n">
        <v>40</v>
      </c>
      <c r="D338" s="11" t="n">
        <v>1</v>
      </c>
      <c r="E338" s="20" t="n">
        <v>0.3</v>
      </c>
      <c r="F338" s="21" t="n">
        <v>0.684989</v>
      </c>
      <c r="G338" s="21" t="n">
        <v>6.925157</v>
      </c>
      <c r="H338" s="21" t="n">
        <v>11.928263</v>
      </c>
      <c r="I338" s="21" t="n">
        <v>0.131752</v>
      </c>
      <c r="J338" s="21" t="n">
        <v>11.243195</v>
      </c>
      <c r="K338" s="21" t="n">
        <v>1.663065</v>
      </c>
    </row>
    <row r="339">
      <c r="A339" s="9" t="inlineStr"/>
      <c r="B339" s="11" t="n">
        <v>4</v>
      </c>
      <c r="C339" s="11" t="n">
        <v>50</v>
      </c>
      <c r="D339" s="11" t="n">
        <v>1</v>
      </c>
      <c r="E339" s="20" t="n">
        <v>0.3</v>
      </c>
      <c r="F339" s="21" t="n">
        <v>0.684989</v>
      </c>
      <c r="G339" s="21" t="n">
        <v>6.925157</v>
      </c>
      <c r="H339" s="21" t="n">
        <v>11.928263</v>
      </c>
      <c r="I339" s="21" t="n">
        <v>0.131752</v>
      </c>
      <c r="J339" s="21" t="n">
        <v>11.243195</v>
      </c>
      <c r="K339" s="21" t="n">
        <v>1.663065</v>
      </c>
    </row>
    <row r="340">
      <c r="A340" s="9" t="inlineStr"/>
      <c r="B340" s="11" t="n">
        <v>6</v>
      </c>
      <c r="C340" s="11" t="n">
        <v>10</v>
      </c>
      <c r="D340" s="11" t="n">
        <v>1</v>
      </c>
      <c r="E340" s="20" t="n">
        <v>0.3</v>
      </c>
      <c r="F340" s="21" t="n">
        <v>0.684989</v>
      </c>
      <c r="G340" s="21" t="n">
        <v>6.925157</v>
      </c>
      <c r="H340" s="21" t="n">
        <v>11.928263</v>
      </c>
      <c r="I340" s="21" t="n">
        <v>0.131752</v>
      </c>
      <c r="J340" s="21" t="n">
        <v>11.243195</v>
      </c>
      <c r="K340" s="21" t="n">
        <v>1.663065</v>
      </c>
    </row>
    <row r="341">
      <c r="A341" s="9" t="inlineStr"/>
      <c r="B341" s="11" t="n">
        <v>6</v>
      </c>
      <c r="C341" s="11" t="n">
        <v>20</v>
      </c>
      <c r="D341" s="11" t="n">
        <v>1</v>
      </c>
      <c r="E341" s="20" t="n">
        <v>0.3</v>
      </c>
      <c r="F341" s="21" t="n">
        <v>0.684989</v>
      </c>
      <c r="G341" s="21" t="n">
        <v>6.925157</v>
      </c>
      <c r="H341" s="21" t="n">
        <v>11.928263</v>
      </c>
      <c r="I341" s="21" t="n">
        <v>0.131752</v>
      </c>
      <c r="J341" s="21" t="n">
        <v>11.243195</v>
      </c>
      <c r="K341" s="21" t="n">
        <v>1.663065</v>
      </c>
    </row>
    <row r="342">
      <c r="A342" s="9" t="inlineStr"/>
      <c r="B342" s="11" t="n">
        <v>6</v>
      </c>
      <c r="C342" s="11" t="n">
        <v>30</v>
      </c>
      <c r="D342" s="11" t="n">
        <v>1</v>
      </c>
      <c r="E342" s="20" t="n">
        <v>0.3</v>
      </c>
      <c r="F342" s="21" t="n">
        <v>0.684989</v>
      </c>
      <c r="G342" s="21" t="n">
        <v>6.925157</v>
      </c>
      <c r="H342" s="21" t="n">
        <v>11.928263</v>
      </c>
      <c r="I342" s="21" t="n">
        <v>0.131752</v>
      </c>
      <c r="J342" s="21" t="n">
        <v>11.243195</v>
      </c>
      <c r="K342" s="21" t="n">
        <v>1.663065</v>
      </c>
    </row>
    <row r="343">
      <c r="A343" s="9" t="inlineStr"/>
      <c r="B343" s="11" t="n">
        <v>6</v>
      </c>
      <c r="C343" s="11" t="n">
        <v>40</v>
      </c>
      <c r="D343" s="11" t="n">
        <v>1</v>
      </c>
      <c r="E343" s="20" t="n">
        <v>0.3</v>
      </c>
      <c r="F343" s="21" t="n">
        <v>0.684989</v>
      </c>
      <c r="G343" s="21" t="n">
        <v>6.925157</v>
      </c>
      <c r="H343" s="21" t="n">
        <v>11.928263</v>
      </c>
      <c r="I343" s="21" t="n">
        <v>0.131752</v>
      </c>
      <c r="J343" s="21" t="n">
        <v>11.243195</v>
      </c>
      <c r="K343" s="21" t="n">
        <v>1.663065</v>
      </c>
    </row>
    <row r="344">
      <c r="A344" s="9" t="inlineStr"/>
      <c r="B344" s="11" t="n">
        <v>6</v>
      </c>
      <c r="C344" s="11" t="n">
        <v>50</v>
      </c>
      <c r="D344" s="11" t="n">
        <v>1</v>
      </c>
      <c r="E344" s="20" t="n">
        <v>0.3</v>
      </c>
      <c r="F344" s="21" t="n">
        <v>0.684989</v>
      </c>
      <c r="G344" s="21" t="n">
        <v>6.925157</v>
      </c>
      <c r="H344" s="21" t="n">
        <v>11.928263</v>
      </c>
      <c r="I344" s="21" t="n">
        <v>0.131752</v>
      </c>
      <c r="J344" s="21" t="n">
        <v>11.243195</v>
      </c>
      <c r="K344" s="21" t="n">
        <v>1.663065</v>
      </c>
    </row>
    <row r="345">
      <c r="A345" s="9" t="inlineStr"/>
      <c r="B345" s="11" t="n">
        <v>8</v>
      </c>
      <c r="C345" s="11" t="n">
        <v>10</v>
      </c>
      <c r="D345" s="11" t="n">
        <v>1</v>
      </c>
      <c r="E345" s="20" t="n">
        <v>0.3</v>
      </c>
      <c r="F345" s="21" t="n">
        <v>0.684989</v>
      </c>
      <c r="G345" s="21" t="n">
        <v>6.925157</v>
      </c>
      <c r="H345" s="21" t="n">
        <v>11.928263</v>
      </c>
      <c r="I345" s="21" t="n">
        <v>0.131752</v>
      </c>
      <c r="J345" s="21" t="n">
        <v>11.243195</v>
      </c>
      <c r="K345" s="21" t="n">
        <v>1.663065</v>
      </c>
    </row>
    <row r="346">
      <c r="A346" s="9" t="inlineStr"/>
      <c r="B346" s="11" t="n">
        <v>8</v>
      </c>
      <c r="C346" s="11" t="n">
        <v>20</v>
      </c>
      <c r="D346" s="11" t="n">
        <v>25</v>
      </c>
      <c r="E346" s="20" t="n">
        <v>0.3</v>
      </c>
      <c r="F346" s="21" t="n">
        <v>0.604303</v>
      </c>
      <c r="G346" s="21" t="n">
        <v>7.224166</v>
      </c>
      <c r="H346" s="21" t="n">
        <v>15.283938</v>
      </c>
      <c r="I346" s="21" t="n">
        <v>0.157211</v>
      </c>
      <c r="J346" s="21" t="n">
        <v>11.120068</v>
      </c>
      <c r="K346" s="21" t="n">
        <v>1.618525</v>
      </c>
    </row>
    <row r="347">
      <c r="A347" s="9" t="inlineStr"/>
      <c r="B347" s="11" t="n">
        <v>8</v>
      </c>
      <c r="C347" s="11" t="n">
        <v>30</v>
      </c>
      <c r="D347" s="11" t="n">
        <v>1</v>
      </c>
      <c r="E347" s="20" t="n">
        <v>0.3</v>
      </c>
      <c r="F347" s="21" t="n">
        <v>0.684989</v>
      </c>
      <c r="G347" s="21" t="n">
        <v>6.925157</v>
      </c>
      <c r="H347" s="21" t="n">
        <v>11.928263</v>
      </c>
      <c r="I347" s="21" t="n">
        <v>0.131752</v>
      </c>
      <c r="J347" s="21" t="n">
        <v>11.243195</v>
      </c>
      <c r="K347" s="21" t="n">
        <v>1.663065</v>
      </c>
    </row>
    <row r="348">
      <c r="A348" s="9" t="inlineStr"/>
      <c r="B348" s="11" t="n">
        <v>8</v>
      </c>
      <c r="C348" s="11" t="n">
        <v>40</v>
      </c>
      <c r="D348" s="11" t="n">
        <v>25</v>
      </c>
      <c r="E348" s="20" t="n">
        <v>0.3</v>
      </c>
      <c r="F348" s="21" t="n">
        <v>0.604303</v>
      </c>
      <c r="G348" s="21" t="n">
        <v>7.224166</v>
      </c>
      <c r="H348" s="21" t="n">
        <v>15.283938</v>
      </c>
      <c r="I348" s="21" t="n">
        <v>0.157211</v>
      </c>
      <c r="J348" s="21" t="n">
        <v>11.120068</v>
      </c>
      <c r="K348" s="21" t="n">
        <v>1.618525</v>
      </c>
    </row>
    <row r="349">
      <c r="A349" s="9" t="inlineStr"/>
      <c r="B349" s="11" t="n">
        <v>8</v>
      </c>
      <c r="C349" s="11" t="n">
        <v>50</v>
      </c>
      <c r="D349" s="11" t="n">
        <v>1</v>
      </c>
      <c r="E349" s="20" t="n">
        <v>0.3</v>
      </c>
      <c r="F349" s="21" t="n">
        <v>0.684989</v>
      </c>
      <c r="G349" s="21" t="n">
        <v>6.925157</v>
      </c>
      <c r="H349" s="21" t="n">
        <v>11.928263</v>
      </c>
      <c r="I349" s="21" t="n">
        <v>0.131752</v>
      </c>
      <c r="J349" s="21" t="n">
        <v>11.243195</v>
      </c>
      <c r="K349" s="21" t="n">
        <v>1.663065</v>
      </c>
    </row>
    <row r="350">
      <c r="A350" s="9" t="inlineStr"/>
      <c r="B350" s="11" t="n">
        <v>10</v>
      </c>
      <c r="C350" s="11" t="n">
        <v>10</v>
      </c>
      <c r="D350" s="11" t="n">
        <v>1</v>
      </c>
      <c r="E350" s="20" t="n">
        <v>0.3</v>
      </c>
      <c r="F350" s="21" t="n">
        <v>0.684989</v>
      </c>
      <c r="G350" s="21" t="n">
        <v>6.925157</v>
      </c>
      <c r="H350" s="21" t="n">
        <v>11.928263</v>
      </c>
      <c r="I350" s="21" t="n">
        <v>0.131752</v>
      </c>
      <c r="J350" s="21" t="n">
        <v>11.243195</v>
      </c>
      <c r="K350" s="21" t="n">
        <v>1.663065</v>
      </c>
    </row>
    <row r="351">
      <c r="A351" s="9" t="inlineStr"/>
      <c r="B351" s="11" t="n">
        <v>10</v>
      </c>
      <c r="C351" s="11" t="n">
        <v>20</v>
      </c>
      <c r="D351" s="11" t="n">
        <v>25</v>
      </c>
      <c r="E351" s="20" t="n">
        <v>0.3</v>
      </c>
      <c r="F351" s="21" t="n">
        <v>0.604303</v>
      </c>
      <c r="G351" s="21" t="n">
        <v>7.224166</v>
      </c>
      <c r="H351" s="21" t="n">
        <v>15.283938</v>
      </c>
      <c r="I351" s="21" t="n">
        <v>0.157211</v>
      </c>
      <c r="J351" s="21" t="n">
        <v>11.120068</v>
      </c>
      <c r="K351" s="21" t="n">
        <v>1.618525</v>
      </c>
    </row>
    <row r="352">
      <c r="A352" s="9" t="inlineStr"/>
      <c r="B352" s="11" t="n">
        <v>10</v>
      </c>
      <c r="C352" s="11" t="n">
        <v>30</v>
      </c>
      <c r="D352" s="11" t="n">
        <v>1</v>
      </c>
      <c r="E352" s="20" t="n">
        <v>0.3</v>
      </c>
      <c r="F352" s="21" t="n">
        <v>0.684989</v>
      </c>
      <c r="G352" s="21" t="n">
        <v>6.925157</v>
      </c>
      <c r="H352" s="21" t="n">
        <v>11.928263</v>
      </c>
      <c r="I352" s="21" t="n">
        <v>0.131752</v>
      </c>
      <c r="J352" s="21" t="n">
        <v>11.243195</v>
      </c>
      <c r="K352" s="21" t="n">
        <v>1.663065</v>
      </c>
    </row>
    <row r="353">
      <c r="A353" s="9" t="inlineStr"/>
      <c r="B353" s="11" t="n">
        <v>10</v>
      </c>
      <c r="C353" s="11" t="n">
        <v>40</v>
      </c>
      <c r="D353" s="11" t="n">
        <v>25</v>
      </c>
      <c r="E353" s="20" t="n">
        <v>0.3</v>
      </c>
      <c r="F353" s="21" t="n">
        <v>0.604303</v>
      </c>
      <c r="G353" s="21" t="n">
        <v>7.224166</v>
      </c>
      <c r="H353" s="21" t="n">
        <v>15.283938</v>
      </c>
      <c r="I353" s="21" t="n">
        <v>0.157211</v>
      </c>
      <c r="J353" s="21" t="n">
        <v>11.120068</v>
      </c>
      <c r="K353" s="21" t="n">
        <v>1.618525</v>
      </c>
    </row>
    <row r="354">
      <c r="A354" s="9" t="inlineStr"/>
      <c r="B354" s="11" t="n">
        <v>10</v>
      </c>
      <c r="C354" s="11" t="n">
        <v>50</v>
      </c>
      <c r="D354" s="11" t="n">
        <v>1</v>
      </c>
      <c r="E354" s="20" t="n">
        <v>0.3</v>
      </c>
      <c r="F354" s="21" t="n">
        <v>0.684989</v>
      </c>
      <c r="G354" s="21" t="n">
        <v>6.925157</v>
      </c>
      <c r="H354" s="21" t="n">
        <v>11.928263</v>
      </c>
      <c r="I354" s="21" t="n">
        <v>0.131752</v>
      </c>
      <c r="J354" s="21" t="n">
        <v>11.243195</v>
      </c>
      <c r="K354" s="21" t="n">
        <v>1.663065</v>
      </c>
    </row>
    <row r="355">
      <c r="A355" s="8" t="inlineStr">
        <is>
          <t>Athena_soldier_behind_smoke_3_meting012-1700</t>
        </is>
      </c>
      <c r="B355" s="11" t="n">
        <v>2</v>
      </c>
      <c r="C355" s="11" t="n">
        <v>10</v>
      </c>
      <c r="D355" s="11" t="n">
        <v>1</v>
      </c>
      <c r="E355" s="20" t="n">
        <v>0.835</v>
      </c>
      <c r="F355" s="21" t="n">
        <v>0.511538</v>
      </c>
      <c r="G355" s="21" t="n">
        <v>7.080434</v>
      </c>
      <c r="H355" s="21" t="n">
        <v>29.960762</v>
      </c>
      <c r="I355" s="21" t="n">
        <v>0.130949</v>
      </c>
      <c r="J355" s="21" t="n">
        <v>13.67596</v>
      </c>
      <c r="K355" s="21" t="n">
        <v>1.533343</v>
      </c>
    </row>
    <row r="356">
      <c r="A356" s="9" t="inlineStr"/>
      <c r="B356" s="11" t="n">
        <v>2</v>
      </c>
      <c r="C356" s="11" t="n">
        <v>20</v>
      </c>
      <c r="D356" s="11" t="n">
        <v>25</v>
      </c>
      <c r="E356" s="20" t="n">
        <v>0.3</v>
      </c>
      <c r="F356" s="21" t="n">
        <v>0.584624</v>
      </c>
      <c r="G356" s="21" t="n">
        <v>7.313101</v>
      </c>
      <c r="H356" s="21" t="n">
        <v>21.525291</v>
      </c>
      <c r="I356" s="21" t="n">
        <v>0.156886</v>
      </c>
      <c r="J356" s="21" t="n">
        <v>13.553031</v>
      </c>
      <c r="K356" s="21" t="n">
        <v>1.634292</v>
      </c>
    </row>
    <row r="357">
      <c r="A357" s="9" t="inlineStr"/>
      <c r="B357" s="13" t="n">
        <v>2</v>
      </c>
      <c r="C357" s="13" t="n">
        <v>30</v>
      </c>
      <c r="D357" s="13" t="n">
        <v>1</v>
      </c>
      <c r="E357" s="22" t="n">
        <v>0.3</v>
      </c>
      <c r="F357" s="23" t="n">
        <v>0.66517</v>
      </c>
      <c r="G357" s="23" t="n">
        <v>6.906214</v>
      </c>
      <c r="H357" s="23" t="n">
        <v>15.879501</v>
      </c>
      <c r="I357" s="23" t="n">
        <v>0.11821</v>
      </c>
      <c r="J357" s="23" t="n">
        <v>13.90069</v>
      </c>
      <c r="K357" s="23" t="n">
        <v>1.667454</v>
      </c>
    </row>
    <row r="358">
      <c r="A358" s="9" t="inlineStr"/>
      <c r="B358" s="11" t="n">
        <v>2</v>
      </c>
      <c r="C358" s="11" t="n">
        <v>40</v>
      </c>
      <c r="D358" s="11" t="n">
        <v>1</v>
      </c>
      <c r="E358" s="20" t="n">
        <v>0.3</v>
      </c>
      <c r="F358" s="21" t="n">
        <v>0.66517</v>
      </c>
      <c r="G358" s="21" t="n">
        <v>6.906214</v>
      </c>
      <c r="H358" s="21" t="n">
        <v>15.879501</v>
      </c>
      <c r="I358" s="21" t="n">
        <v>0.11821</v>
      </c>
      <c r="J358" s="21" t="n">
        <v>13.90069</v>
      </c>
      <c r="K358" s="21" t="n">
        <v>1.667454</v>
      </c>
    </row>
    <row r="359">
      <c r="A359" s="9" t="inlineStr"/>
      <c r="B359" s="11" t="n">
        <v>2</v>
      </c>
      <c r="C359" s="11" t="n">
        <v>50</v>
      </c>
      <c r="D359" s="11" t="n">
        <v>25</v>
      </c>
      <c r="E359" s="20" t="n">
        <v>0.3</v>
      </c>
      <c r="F359" s="21" t="n">
        <v>0.584624</v>
      </c>
      <c r="G359" s="21" t="n">
        <v>7.313101</v>
      </c>
      <c r="H359" s="21" t="n">
        <v>21.525291</v>
      </c>
      <c r="I359" s="21" t="n">
        <v>0.156886</v>
      </c>
      <c r="J359" s="21" t="n">
        <v>13.553031</v>
      </c>
      <c r="K359" s="21" t="n">
        <v>1.634292</v>
      </c>
    </row>
    <row r="360">
      <c r="A360" s="9" t="inlineStr"/>
      <c r="B360" s="11" t="n">
        <v>4</v>
      </c>
      <c r="C360" s="11" t="n">
        <v>10</v>
      </c>
      <c r="D360" s="11" t="n">
        <v>25</v>
      </c>
      <c r="E360" s="20" t="n">
        <v>0.3</v>
      </c>
      <c r="F360" s="21" t="n">
        <v>0.584624</v>
      </c>
      <c r="G360" s="21" t="n">
        <v>7.313101</v>
      </c>
      <c r="H360" s="21" t="n">
        <v>21.525291</v>
      </c>
      <c r="I360" s="21" t="n">
        <v>0.156886</v>
      </c>
      <c r="J360" s="21" t="n">
        <v>13.553031</v>
      </c>
      <c r="K360" s="21" t="n">
        <v>1.634292</v>
      </c>
    </row>
    <row r="361">
      <c r="A361" s="9" t="inlineStr"/>
      <c r="B361" s="11" t="n">
        <v>4</v>
      </c>
      <c r="C361" s="11" t="n">
        <v>20</v>
      </c>
      <c r="D361" s="11" t="n">
        <v>1</v>
      </c>
      <c r="E361" s="20" t="n">
        <v>0.3</v>
      </c>
      <c r="F361" s="21" t="n">
        <v>0.66517</v>
      </c>
      <c r="G361" s="21" t="n">
        <v>6.906214</v>
      </c>
      <c r="H361" s="21" t="n">
        <v>15.879501</v>
      </c>
      <c r="I361" s="21" t="n">
        <v>0.11821</v>
      </c>
      <c r="J361" s="21" t="n">
        <v>13.90069</v>
      </c>
      <c r="K361" s="21" t="n">
        <v>1.667454</v>
      </c>
    </row>
    <row r="362">
      <c r="A362" s="9" t="inlineStr"/>
      <c r="B362" s="11" t="n">
        <v>4</v>
      </c>
      <c r="C362" s="11" t="n">
        <v>30</v>
      </c>
      <c r="D362" s="11" t="n">
        <v>1</v>
      </c>
      <c r="E362" s="20" t="n">
        <v>0.3</v>
      </c>
      <c r="F362" s="21" t="n">
        <v>0.66517</v>
      </c>
      <c r="G362" s="21" t="n">
        <v>6.906214</v>
      </c>
      <c r="H362" s="21" t="n">
        <v>15.879501</v>
      </c>
      <c r="I362" s="21" t="n">
        <v>0.11821</v>
      </c>
      <c r="J362" s="21" t="n">
        <v>13.90069</v>
      </c>
      <c r="K362" s="21" t="n">
        <v>1.667454</v>
      </c>
    </row>
    <row r="363">
      <c r="A363" s="9" t="inlineStr"/>
      <c r="B363" s="11" t="n">
        <v>4</v>
      </c>
      <c r="C363" s="11" t="n">
        <v>40</v>
      </c>
      <c r="D363" s="11" t="n">
        <v>1</v>
      </c>
      <c r="E363" s="20" t="n">
        <v>0.3</v>
      </c>
      <c r="F363" s="21" t="n">
        <v>0.66517</v>
      </c>
      <c r="G363" s="21" t="n">
        <v>6.906214</v>
      </c>
      <c r="H363" s="21" t="n">
        <v>15.879501</v>
      </c>
      <c r="I363" s="21" t="n">
        <v>0.11821</v>
      </c>
      <c r="J363" s="21" t="n">
        <v>13.90069</v>
      </c>
      <c r="K363" s="21" t="n">
        <v>1.667454</v>
      </c>
    </row>
    <row r="364">
      <c r="A364" s="9" t="inlineStr"/>
      <c r="B364" s="11" t="n">
        <v>4</v>
      </c>
      <c r="C364" s="11" t="n">
        <v>50</v>
      </c>
      <c r="D364" s="11" t="n">
        <v>25</v>
      </c>
      <c r="E364" s="20" t="n">
        <v>0.3</v>
      </c>
      <c r="F364" s="21" t="n">
        <v>0.584624</v>
      </c>
      <c r="G364" s="21" t="n">
        <v>7.313101</v>
      </c>
      <c r="H364" s="21" t="n">
        <v>21.525291</v>
      </c>
      <c r="I364" s="21" t="n">
        <v>0.156886</v>
      </c>
      <c r="J364" s="21" t="n">
        <v>13.553031</v>
      </c>
      <c r="K364" s="21" t="n">
        <v>1.634292</v>
      </c>
    </row>
    <row r="365">
      <c r="A365" s="9" t="inlineStr"/>
      <c r="B365" s="11" t="n">
        <v>6</v>
      </c>
      <c r="C365" s="11" t="n">
        <v>10</v>
      </c>
      <c r="D365" s="11" t="n">
        <v>1</v>
      </c>
      <c r="E365" s="20" t="n">
        <v>0.3</v>
      </c>
      <c r="F365" s="21" t="n">
        <v>0.66517</v>
      </c>
      <c r="G365" s="21" t="n">
        <v>6.906214</v>
      </c>
      <c r="H365" s="21" t="n">
        <v>15.879501</v>
      </c>
      <c r="I365" s="21" t="n">
        <v>0.11821</v>
      </c>
      <c r="J365" s="21" t="n">
        <v>13.90069</v>
      </c>
      <c r="K365" s="21" t="n">
        <v>1.667454</v>
      </c>
    </row>
    <row r="366">
      <c r="A366" s="9" t="inlineStr"/>
      <c r="B366" s="11" t="n">
        <v>6</v>
      </c>
      <c r="C366" s="11" t="n">
        <v>20</v>
      </c>
      <c r="D366" s="11" t="n">
        <v>1</v>
      </c>
      <c r="E366" s="20" t="n">
        <v>0.3</v>
      </c>
      <c r="F366" s="21" t="n">
        <v>0.66517</v>
      </c>
      <c r="G366" s="21" t="n">
        <v>6.906214</v>
      </c>
      <c r="H366" s="21" t="n">
        <v>15.879501</v>
      </c>
      <c r="I366" s="21" t="n">
        <v>0.11821</v>
      </c>
      <c r="J366" s="21" t="n">
        <v>13.90069</v>
      </c>
      <c r="K366" s="21" t="n">
        <v>1.667454</v>
      </c>
    </row>
    <row r="367">
      <c r="A367" s="9" t="inlineStr"/>
      <c r="B367" s="11" t="n">
        <v>6</v>
      </c>
      <c r="C367" s="11" t="n">
        <v>30</v>
      </c>
      <c r="D367" s="11" t="n">
        <v>25</v>
      </c>
      <c r="E367" s="20" t="n">
        <v>0.3</v>
      </c>
      <c r="F367" s="21" t="n">
        <v>0.584624</v>
      </c>
      <c r="G367" s="21" t="n">
        <v>7.313101</v>
      </c>
      <c r="H367" s="21" t="n">
        <v>21.525291</v>
      </c>
      <c r="I367" s="21" t="n">
        <v>0.156886</v>
      </c>
      <c r="J367" s="21" t="n">
        <v>13.553031</v>
      </c>
      <c r="K367" s="21" t="n">
        <v>1.634292</v>
      </c>
    </row>
    <row r="368">
      <c r="A368" s="9" t="inlineStr"/>
      <c r="B368" s="11" t="n">
        <v>6</v>
      </c>
      <c r="C368" s="11" t="n">
        <v>40</v>
      </c>
      <c r="D368" s="11" t="n">
        <v>25</v>
      </c>
      <c r="E368" s="20" t="n">
        <v>0.3</v>
      </c>
      <c r="F368" s="21" t="n">
        <v>0.584624</v>
      </c>
      <c r="G368" s="21" t="n">
        <v>7.313101</v>
      </c>
      <c r="H368" s="21" t="n">
        <v>21.525291</v>
      </c>
      <c r="I368" s="21" t="n">
        <v>0.156886</v>
      </c>
      <c r="J368" s="21" t="n">
        <v>13.553031</v>
      </c>
      <c r="K368" s="21" t="n">
        <v>1.634292</v>
      </c>
    </row>
    <row r="369">
      <c r="A369" s="9" t="inlineStr"/>
      <c r="B369" s="11" t="n">
        <v>6</v>
      </c>
      <c r="C369" s="11" t="n">
        <v>50</v>
      </c>
      <c r="D369" s="11" t="n">
        <v>1</v>
      </c>
      <c r="E369" s="20" t="n">
        <v>0.3</v>
      </c>
      <c r="F369" s="21" t="n">
        <v>0.66517</v>
      </c>
      <c r="G369" s="21" t="n">
        <v>6.906214</v>
      </c>
      <c r="H369" s="21" t="n">
        <v>15.879501</v>
      </c>
      <c r="I369" s="21" t="n">
        <v>0.11821</v>
      </c>
      <c r="J369" s="21" t="n">
        <v>13.90069</v>
      </c>
      <c r="K369" s="21" t="n">
        <v>1.667454</v>
      </c>
    </row>
    <row r="370">
      <c r="A370" s="9" t="inlineStr"/>
      <c r="B370" s="11" t="n">
        <v>8</v>
      </c>
      <c r="C370" s="11" t="n">
        <v>10</v>
      </c>
      <c r="D370" s="11" t="n">
        <v>1</v>
      </c>
      <c r="E370" s="20" t="n">
        <v>0.3</v>
      </c>
      <c r="F370" s="21" t="n">
        <v>0.66517</v>
      </c>
      <c r="G370" s="21" t="n">
        <v>6.906214</v>
      </c>
      <c r="H370" s="21" t="n">
        <v>15.879501</v>
      </c>
      <c r="I370" s="21" t="n">
        <v>0.11821</v>
      </c>
      <c r="J370" s="21" t="n">
        <v>13.90069</v>
      </c>
      <c r="K370" s="21" t="n">
        <v>1.667454</v>
      </c>
    </row>
    <row r="371">
      <c r="A371" s="9" t="inlineStr"/>
      <c r="B371" s="11" t="n">
        <v>8</v>
      </c>
      <c r="C371" s="11" t="n">
        <v>20</v>
      </c>
      <c r="D371" s="11" t="n">
        <v>25</v>
      </c>
      <c r="E371" s="20" t="n">
        <v>0.3</v>
      </c>
      <c r="F371" s="21" t="n">
        <v>0.584624</v>
      </c>
      <c r="G371" s="21" t="n">
        <v>7.313101</v>
      </c>
      <c r="H371" s="21" t="n">
        <v>21.525291</v>
      </c>
      <c r="I371" s="21" t="n">
        <v>0.156886</v>
      </c>
      <c r="J371" s="21" t="n">
        <v>13.553031</v>
      </c>
      <c r="K371" s="21" t="n">
        <v>1.634292</v>
      </c>
    </row>
    <row r="372">
      <c r="A372" s="9" t="inlineStr"/>
      <c r="B372" s="11" t="n">
        <v>8</v>
      </c>
      <c r="C372" s="11" t="n">
        <v>30</v>
      </c>
      <c r="D372" s="11" t="n">
        <v>1</v>
      </c>
      <c r="E372" s="20" t="n">
        <v>0.3</v>
      </c>
      <c r="F372" s="21" t="n">
        <v>0.66517</v>
      </c>
      <c r="G372" s="21" t="n">
        <v>6.906214</v>
      </c>
      <c r="H372" s="21" t="n">
        <v>15.879501</v>
      </c>
      <c r="I372" s="21" t="n">
        <v>0.11821</v>
      </c>
      <c r="J372" s="21" t="n">
        <v>13.90069</v>
      </c>
      <c r="K372" s="21" t="n">
        <v>1.667454</v>
      </c>
    </row>
    <row r="373">
      <c r="A373" s="9" t="inlineStr"/>
      <c r="B373" s="11" t="n">
        <v>8</v>
      </c>
      <c r="C373" s="11" t="n">
        <v>40</v>
      </c>
      <c r="D373" s="11" t="n">
        <v>1</v>
      </c>
      <c r="E373" s="20" t="n">
        <v>0.3</v>
      </c>
      <c r="F373" s="21" t="n">
        <v>0.66517</v>
      </c>
      <c r="G373" s="21" t="n">
        <v>6.906214</v>
      </c>
      <c r="H373" s="21" t="n">
        <v>15.879501</v>
      </c>
      <c r="I373" s="21" t="n">
        <v>0.11821</v>
      </c>
      <c r="J373" s="21" t="n">
        <v>13.90069</v>
      </c>
      <c r="K373" s="21" t="n">
        <v>1.667454</v>
      </c>
    </row>
    <row r="374">
      <c r="A374" s="9" t="inlineStr"/>
      <c r="B374" s="11" t="n">
        <v>8</v>
      </c>
      <c r="C374" s="11" t="n">
        <v>50</v>
      </c>
      <c r="D374" s="11" t="n">
        <v>25</v>
      </c>
      <c r="E374" s="20" t="n">
        <v>0.3</v>
      </c>
      <c r="F374" s="21" t="n">
        <v>0.584624</v>
      </c>
      <c r="G374" s="21" t="n">
        <v>7.313101</v>
      </c>
      <c r="H374" s="21" t="n">
        <v>21.525291</v>
      </c>
      <c r="I374" s="21" t="n">
        <v>0.156886</v>
      </c>
      <c r="J374" s="21" t="n">
        <v>13.553031</v>
      </c>
      <c r="K374" s="21" t="n">
        <v>1.634292</v>
      </c>
    </row>
    <row r="375">
      <c r="A375" s="9" t="inlineStr"/>
      <c r="B375" s="11" t="n">
        <v>10</v>
      </c>
      <c r="C375" s="11" t="n">
        <v>10</v>
      </c>
      <c r="D375" s="11" t="n">
        <v>1</v>
      </c>
      <c r="E375" s="20" t="n">
        <v>0.3</v>
      </c>
      <c r="F375" s="21" t="n">
        <v>0.66517</v>
      </c>
      <c r="G375" s="21" t="n">
        <v>6.906214</v>
      </c>
      <c r="H375" s="21" t="n">
        <v>15.879501</v>
      </c>
      <c r="I375" s="21" t="n">
        <v>0.11821</v>
      </c>
      <c r="J375" s="21" t="n">
        <v>13.90069</v>
      </c>
      <c r="K375" s="21" t="n">
        <v>1.667454</v>
      </c>
    </row>
    <row r="376">
      <c r="A376" s="9" t="inlineStr"/>
      <c r="B376" s="11" t="n">
        <v>10</v>
      </c>
      <c r="C376" s="11" t="n">
        <v>20</v>
      </c>
      <c r="D376" s="11" t="n">
        <v>2</v>
      </c>
      <c r="E376" s="20" t="n">
        <v>0.3</v>
      </c>
      <c r="F376" s="21" t="n">
        <v>0.637431</v>
      </c>
      <c r="G376" s="21" t="n">
        <v>6.952353</v>
      </c>
      <c r="H376" s="21" t="n">
        <v>18.840111</v>
      </c>
      <c r="I376" s="21" t="n">
        <v>0.124533</v>
      </c>
      <c r="J376" s="21" t="n">
        <v>13.846122</v>
      </c>
      <c r="K376" s="21" t="n">
        <v>1.667454</v>
      </c>
    </row>
    <row r="377">
      <c r="A377" s="9" t="inlineStr"/>
      <c r="B377" s="11" t="n">
        <v>10</v>
      </c>
      <c r="C377" s="11" t="n">
        <v>30</v>
      </c>
      <c r="D377" s="11" t="n">
        <v>25</v>
      </c>
      <c r="E377" s="20" t="n">
        <v>0.3</v>
      </c>
      <c r="F377" s="21" t="n">
        <v>0.584624</v>
      </c>
      <c r="G377" s="21" t="n">
        <v>7.313101</v>
      </c>
      <c r="H377" s="21" t="n">
        <v>21.525291</v>
      </c>
      <c r="I377" s="21" t="n">
        <v>0.156886</v>
      </c>
      <c r="J377" s="21" t="n">
        <v>13.553031</v>
      </c>
      <c r="K377" s="21" t="n">
        <v>1.634292</v>
      </c>
    </row>
    <row r="378">
      <c r="A378" s="9" t="inlineStr"/>
      <c r="B378" s="11" t="n">
        <v>10</v>
      </c>
      <c r="C378" s="11" t="n">
        <v>40</v>
      </c>
      <c r="D378" s="11" t="n">
        <v>1</v>
      </c>
      <c r="E378" s="20" t="n">
        <v>0.3</v>
      </c>
      <c r="F378" s="21" t="n">
        <v>0.66517</v>
      </c>
      <c r="G378" s="21" t="n">
        <v>6.906214</v>
      </c>
      <c r="H378" s="21" t="n">
        <v>15.879501</v>
      </c>
      <c r="I378" s="21" t="n">
        <v>0.11821</v>
      </c>
      <c r="J378" s="21" t="n">
        <v>13.90069</v>
      </c>
      <c r="K378" s="21" t="n">
        <v>1.667454</v>
      </c>
    </row>
    <row r="379">
      <c r="A379" s="9" t="inlineStr"/>
      <c r="B379" s="11" t="n">
        <v>10</v>
      </c>
      <c r="C379" s="11" t="n">
        <v>50</v>
      </c>
      <c r="D379" s="11" t="n">
        <v>25</v>
      </c>
      <c r="E379" s="20" t="n">
        <v>0.3</v>
      </c>
      <c r="F379" s="21" t="n">
        <v>0.584624</v>
      </c>
      <c r="G379" s="21" t="n">
        <v>7.313101</v>
      </c>
      <c r="H379" s="21" t="n">
        <v>21.525291</v>
      </c>
      <c r="I379" s="21" t="n">
        <v>0.156886</v>
      </c>
      <c r="J379" s="21" t="n">
        <v>13.553031</v>
      </c>
      <c r="K379" s="21" t="n">
        <v>1.634292</v>
      </c>
    </row>
    <row r="380">
      <c r="A380" s="8" t="inlineStr">
        <is>
          <t>Athena_soldier_in_trench_1_meting016</t>
        </is>
      </c>
      <c r="B380" s="11" t="n">
        <v>2</v>
      </c>
      <c r="C380" s="11" t="n">
        <v>10</v>
      </c>
      <c r="D380" s="11" t="n">
        <v>25</v>
      </c>
      <c r="E380" s="20" t="n">
        <v>0.3</v>
      </c>
      <c r="F380" s="21" t="n">
        <v>0.643122</v>
      </c>
      <c r="G380" s="21" t="n">
        <v>6.99043</v>
      </c>
      <c r="H380" s="21" t="n">
        <v>18.106961</v>
      </c>
      <c r="I380" s="21" t="n">
        <v>0.132078</v>
      </c>
      <c r="J380" s="21" t="n">
        <v>16.191706</v>
      </c>
      <c r="K380" s="21" t="n">
        <v>1.678843</v>
      </c>
    </row>
    <row r="381">
      <c r="A381" s="9" t="inlineStr"/>
      <c r="B381" s="11" t="n">
        <v>2</v>
      </c>
      <c r="C381" s="11" t="n">
        <v>20</v>
      </c>
      <c r="D381" s="11" t="n">
        <v>1</v>
      </c>
      <c r="E381" s="20" t="n">
        <v>0.6614</v>
      </c>
      <c r="F381" s="21" t="n">
        <v>0.630153</v>
      </c>
      <c r="G381" s="21" t="n">
        <v>6.699942</v>
      </c>
      <c r="H381" s="21" t="n">
        <v>18.745441</v>
      </c>
      <c r="I381" s="21" t="n">
        <v>0.105338</v>
      </c>
      <c r="J381" s="21" t="n">
        <v>16.625432</v>
      </c>
      <c r="K381" s="21" t="n">
        <v>1.63391</v>
      </c>
    </row>
    <row r="382">
      <c r="A382" s="9" t="inlineStr"/>
      <c r="B382" s="11" t="n">
        <v>2</v>
      </c>
      <c r="C382" s="11" t="n">
        <v>30</v>
      </c>
      <c r="D382" s="11" t="n">
        <v>25</v>
      </c>
      <c r="E382" s="20" t="n">
        <v>0.3</v>
      </c>
      <c r="F382" s="21" t="n">
        <v>0.643122</v>
      </c>
      <c r="G382" s="21" t="n">
        <v>6.99043</v>
      </c>
      <c r="H382" s="21" t="n">
        <v>18.106961</v>
      </c>
      <c r="I382" s="21" t="n">
        <v>0.132078</v>
      </c>
      <c r="J382" s="21" t="n">
        <v>16.191706</v>
      </c>
      <c r="K382" s="21" t="n">
        <v>1.678843</v>
      </c>
    </row>
    <row r="383">
      <c r="A383" s="9" t="inlineStr"/>
      <c r="B383" s="11" t="n">
        <v>2</v>
      </c>
      <c r="C383" s="11" t="n">
        <v>40</v>
      </c>
      <c r="D383" s="11" t="n">
        <v>25</v>
      </c>
      <c r="E383" s="20" t="n">
        <v>0.7094</v>
      </c>
      <c r="F383" s="21" t="n">
        <v>0.428369</v>
      </c>
      <c r="G383" s="21" t="n">
        <v>7.459891</v>
      </c>
      <c r="H383" s="21" t="n">
        <v>30.995879</v>
      </c>
      <c r="I383" s="21" t="n">
        <v>0.182679</v>
      </c>
      <c r="J383" s="21" t="n">
        <v>14.520563</v>
      </c>
      <c r="K383" s="21" t="n">
        <v>1.506074</v>
      </c>
    </row>
    <row r="384">
      <c r="A384" s="9" t="inlineStr"/>
      <c r="B384" s="13" t="n">
        <v>2</v>
      </c>
      <c r="C384" s="13" t="n">
        <v>50</v>
      </c>
      <c r="D384" s="13" t="n">
        <v>1</v>
      </c>
      <c r="E384" s="22" t="n">
        <v>0.3</v>
      </c>
      <c r="F384" s="23" t="n">
        <v>0.741717</v>
      </c>
      <c r="G384" s="23" t="n">
        <v>6.608691</v>
      </c>
      <c r="H384" s="23" t="n">
        <v>12.39998</v>
      </c>
      <c r="I384" s="23" t="n">
        <v>0.099844</v>
      </c>
      <c r="J384" s="23" t="n">
        <v>16.761531</v>
      </c>
      <c r="K384" s="23" t="n">
        <v>1.735418</v>
      </c>
    </row>
    <row r="385">
      <c r="A385" s="9" t="inlineStr"/>
      <c r="B385" s="11" t="n">
        <v>4</v>
      </c>
      <c r="C385" s="11" t="n">
        <v>10</v>
      </c>
      <c r="D385" s="11" t="n">
        <v>25</v>
      </c>
      <c r="E385" s="20" t="n">
        <v>0.3</v>
      </c>
      <c r="F385" s="21" t="n">
        <v>0.643122</v>
      </c>
      <c r="G385" s="21" t="n">
        <v>6.99043</v>
      </c>
      <c r="H385" s="21" t="n">
        <v>18.106961</v>
      </c>
      <c r="I385" s="21" t="n">
        <v>0.132078</v>
      </c>
      <c r="J385" s="21" t="n">
        <v>16.191706</v>
      </c>
      <c r="K385" s="21" t="n">
        <v>1.678843</v>
      </c>
    </row>
    <row r="386">
      <c r="A386" s="9" t="inlineStr"/>
      <c r="B386" s="11" t="n">
        <v>4</v>
      </c>
      <c r="C386" s="11" t="n">
        <v>20</v>
      </c>
      <c r="D386" s="11" t="n">
        <v>1</v>
      </c>
      <c r="E386" s="20" t="n">
        <v>0.3</v>
      </c>
      <c r="F386" s="21" t="n">
        <v>0.741717</v>
      </c>
      <c r="G386" s="21" t="n">
        <v>6.608691</v>
      </c>
      <c r="H386" s="21" t="n">
        <v>12.39998</v>
      </c>
      <c r="I386" s="21" t="n">
        <v>0.099844</v>
      </c>
      <c r="J386" s="21" t="n">
        <v>16.761531</v>
      </c>
      <c r="K386" s="21" t="n">
        <v>1.735418</v>
      </c>
    </row>
    <row r="387">
      <c r="A387" s="9" t="inlineStr"/>
      <c r="B387" s="11" t="n">
        <v>4</v>
      </c>
      <c r="C387" s="11" t="n">
        <v>30</v>
      </c>
      <c r="D387" s="11" t="n">
        <v>25</v>
      </c>
      <c r="E387" s="20" t="n">
        <v>0.3</v>
      </c>
      <c r="F387" s="21" t="n">
        <v>0.643122</v>
      </c>
      <c r="G387" s="21" t="n">
        <v>6.99043</v>
      </c>
      <c r="H387" s="21" t="n">
        <v>18.106961</v>
      </c>
      <c r="I387" s="21" t="n">
        <v>0.132078</v>
      </c>
      <c r="J387" s="21" t="n">
        <v>16.191706</v>
      </c>
      <c r="K387" s="21" t="n">
        <v>1.678843</v>
      </c>
    </row>
    <row r="388">
      <c r="A388" s="9" t="inlineStr"/>
      <c r="B388" s="11" t="n">
        <v>4</v>
      </c>
      <c r="C388" s="11" t="n">
        <v>40</v>
      </c>
      <c r="D388" s="11" t="n">
        <v>1</v>
      </c>
      <c r="E388" s="20" t="n">
        <v>0.3</v>
      </c>
      <c r="F388" s="21" t="n">
        <v>0.741717</v>
      </c>
      <c r="G388" s="21" t="n">
        <v>6.608691</v>
      </c>
      <c r="H388" s="21" t="n">
        <v>12.39998</v>
      </c>
      <c r="I388" s="21" t="n">
        <v>0.099844</v>
      </c>
      <c r="J388" s="21" t="n">
        <v>16.761531</v>
      </c>
      <c r="K388" s="21" t="n">
        <v>1.735418</v>
      </c>
    </row>
    <row r="389">
      <c r="A389" s="9" t="inlineStr"/>
      <c r="B389" s="11" t="n">
        <v>4</v>
      </c>
      <c r="C389" s="11" t="n">
        <v>50</v>
      </c>
      <c r="D389" s="11" t="n">
        <v>1</v>
      </c>
      <c r="E389" s="20" t="n">
        <v>0.3</v>
      </c>
      <c r="F389" s="21" t="n">
        <v>0.741717</v>
      </c>
      <c r="G389" s="21" t="n">
        <v>6.608691</v>
      </c>
      <c r="H389" s="21" t="n">
        <v>12.39998</v>
      </c>
      <c r="I389" s="21" t="n">
        <v>0.099844</v>
      </c>
      <c r="J389" s="21" t="n">
        <v>16.761531</v>
      </c>
      <c r="K389" s="21" t="n">
        <v>1.735418</v>
      </c>
    </row>
    <row r="390">
      <c r="A390" s="9" t="inlineStr"/>
      <c r="B390" s="11" t="n">
        <v>6</v>
      </c>
      <c r="C390" s="11" t="n">
        <v>10</v>
      </c>
      <c r="D390" s="11" t="n">
        <v>1</v>
      </c>
      <c r="E390" s="20" t="n">
        <v>0.3</v>
      </c>
      <c r="F390" s="21" t="n">
        <v>0.741717</v>
      </c>
      <c r="G390" s="21" t="n">
        <v>6.608691</v>
      </c>
      <c r="H390" s="21" t="n">
        <v>12.39998</v>
      </c>
      <c r="I390" s="21" t="n">
        <v>0.099844</v>
      </c>
      <c r="J390" s="21" t="n">
        <v>16.761531</v>
      </c>
      <c r="K390" s="21" t="n">
        <v>1.735418</v>
      </c>
    </row>
    <row r="391">
      <c r="A391" s="9" t="inlineStr"/>
      <c r="B391" s="11" t="n">
        <v>6</v>
      </c>
      <c r="C391" s="11" t="n">
        <v>20</v>
      </c>
      <c r="D391" s="11" t="n">
        <v>2</v>
      </c>
      <c r="E391" s="20" t="n">
        <v>0.3</v>
      </c>
      <c r="F391" s="21" t="n">
        <v>0.7105</v>
      </c>
      <c r="G391" s="21" t="n">
        <v>6.650133</v>
      </c>
      <c r="H391" s="21" t="n">
        <v>15.089249</v>
      </c>
      <c r="I391" s="21" t="n">
        <v>0.106957</v>
      </c>
      <c r="J391" s="21" t="n">
        <v>16.666939</v>
      </c>
      <c r="K391" s="21" t="n">
        <v>1.735418</v>
      </c>
    </row>
    <row r="392">
      <c r="A392" s="9" t="inlineStr"/>
      <c r="B392" s="11" t="n">
        <v>6</v>
      </c>
      <c r="C392" s="11" t="n">
        <v>30</v>
      </c>
      <c r="D392" s="11" t="n">
        <v>25</v>
      </c>
      <c r="E392" s="20" t="n">
        <v>0.3</v>
      </c>
      <c r="F392" s="21" t="n">
        <v>0.643122</v>
      </c>
      <c r="G392" s="21" t="n">
        <v>6.99043</v>
      </c>
      <c r="H392" s="21" t="n">
        <v>18.106961</v>
      </c>
      <c r="I392" s="21" t="n">
        <v>0.132078</v>
      </c>
      <c r="J392" s="21" t="n">
        <v>16.191706</v>
      </c>
      <c r="K392" s="21" t="n">
        <v>1.678843</v>
      </c>
    </row>
    <row r="393">
      <c r="A393" s="9" t="inlineStr"/>
      <c r="B393" s="11" t="n">
        <v>6</v>
      </c>
      <c r="C393" s="11" t="n">
        <v>40</v>
      </c>
      <c r="D393" s="11" t="n">
        <v>25</v>
      </c>
      <c r="E393" s="20" t="n">
        <v>0.3</v>
      </c>
      <c r="F393" s="21" t="n">
        <v>0.643122</v>
      </c>
      <c r="G393" s="21" t="n">
        <v>6.99043</v>
      </c>
      <c r="H393" s="21" t="n">
        <v>18.106961</v>
      </c>
      <c r="I393" s="21" t="n">
        <v>0.132078</v>
      </c>
      <c r="J393" s="21" t="n">
        <v>16.191706</v>
      </c>
      <c r="K393" s="21" t="n">
        <v>1.678843</v>
      </c>
    </row>
    <row r="394">
      <c r="A394" s="9" t="inlineStr"/>
      <c r="B394" s="11" t="n">
        <v>6</v>
      </c>
      <c r="C394" s="11" t="n">
        <v>50</v>
      </c>
      <c r="D394" s="11" t="n">
        <v>1</v>
      </c>
      <c r="E394" s="20" t="n">
        <v>0.3</v>
      </c>
      <c r="F394" s="21" t="n">
        <v>0.741717</v>
      </c>
      <c r="G394" s="21" t="n">
        <v>6.608691</v>
      </c>
      <c r="H394" s="21" t="n">
        <v>12.39998</v>
      </c>
      <c r="I394" s="21" t="n">
        <v>0.099844</v>
      </c>
      <c r="J394" s="21" t="n">
        <v>16.761531</v>
      </c>
      <c r="K394" s="21" t="n">
        <v>1.735418</v>
      </c>
    </row>
    <row r="395">
      <c r="A395" s="9" t="inlineStr"/>
      <c r="B395" s="11" t="n">
        <v>8</v>
      </c>
      <c r="C395" s="11" t="n">
        <v>10</v>
      </c>
      <c r="D395" s="11" t="n">
        <v>25</v>
      </c>
      <c r="E395" s="20" t="n">
        <v>0.3</v>
      </c>
      <c r="F395" s="21" t="n">
        <v>0.643122</v>
      </c>
      <c r="G395" s="21" t="n">
        <v>6.99043</v>
      </c>
      <c r="H395" s="21" t="n">
        <v>18.106961</v>
      </c>
      <c r="I395" s="21" t="n">
        <v>0.132078</v>
      </c>
      <c r="J395" s="21" t="n">
        <v>16.191706</v>
      </c>
      <c r="K395" s="21" t="n">
        <v>1.678843</v>
      </c>
    </row>
    <row r="396">
      <c r="A396" s="9" t="inlineStr"/>
      <c r="B396" s="11" t="n">
        <v>8</v>
      </c>
      <c r="C396" s="11" t="n">
        <v>20</v>
      </c>
      <c r="D396" s="11" t="n">
        <v>25</v>
      </c>
      <c r="E396" s="20" t="n">
        <v>0.3</v>
      </c>
      <c r="F396" s="21" t="n">
        <v>0.643122</v>
      </c>
      <c r="G396" s="21" t="n">
        <v>6.99043</v>
      </c>
      <c r="H396" s="21" t="n">
        <v>18.106961</v>
      </c>
      <c r="I396" s="21" t="n">
        <v>0.132078</v>
      </c>
      <c r="J396" s="21" t="n">
        <v>16.191706</v>
      </c>
      <c r="K396" s="21" t="n">
        <v>1.678843</v>
      </c>
    </row>
    <row r="397">
      <c r="A397" s="9" t="inlineStr"/>
      <c r="B397" s="11" t="n">
        <v>8</v>
      </c>
      <c r="C397" s="11" t="n">
        <v>30</v>
      </c>
      <c r="D397" s="11" t="n">
        <v>1</v>
      </c>
      <c r="E397" s="20" t="n">
        <v>0.3</v>
      </c>
      <c r="F397" s="21" t="n">
        <v>0.741717</v>
      </c>
      <c r="G397" s="21" t="n">
        <v>6.608691</v>
      </c>
      <c r="H397" s="21" t="n">
        <v>12.39998</v>
      </c>
      <c r="I397" s="21" t="n">
        <v>0.099844</v>
      </c>
      <c r="J397" s="21" t="n">
        <v>16.761531</v>
      </c>
      <c r="K397" s="21" t="n">
        <v>1.735418</v>
      </c>
    </row>
    <row r="398">
      <c r="A398" s="9" t="inlineStr"/>
      <c r="B398" s="11" t="n">
        <v>8</v>
      </c>
      <c r="C398" s="11" t="n">
        <v>40</v>
      </c>
      <c r="D398" s="11" t="n">
        <v>25</v>
      </c>
      <c r="E398" s="20" t="n">
        <v>0.3</v>
      </c>
      <c r="F398" s="21" t="n">
        <v>0.643122</v>
      </c>
      <c r="G398" s="21" t="n">
        <v>6.99043</v>
      </c>
      <c r="H398" s="21" t="n">
        <v>18.106961</v>
      </c>
      <c r="I398" s="21" t="n">
        <v>0.132078</v>
      </c>
      <c r="J398" s="21" t="n">
        <v>16.191706</v>
      </c>
      <c r="K398" s="21" t="n">
        <v>1.678843</v>
      </c>
    </row>
    <row r="399">
      <c r="A399" s="9" t="inlineStr"/>
      <c r="B399" s="11" t="n">
        <v>8</v>
      </c>
      <c r="C399" s="11" t="n">
        <v>50</v>
      </c>
      <c r="D399" s="11" t="n">
        <v>1</v>
      </c>
      <c r="E399" s="20" t="n">
        <v>0.3</v>
      </c>
      <c r="F399" s="21" t="n">
        <v>0.741717</v>
      </c>
      <c r="G399" s="21" t="n">
        <v>6.608691</v>
      </c>
      <c r="H399" s="21" t="n">
        <v>12.39998</v>
      </c>
      <c r="I399" s="21" t="n">
        <v>0.099844</v>
      </c>
      <c r="J399" s="21" t="n">
        <v>16.761531</v>
      </c>
      <c r="K399" s="21" t="n">
        <v>1.735418</v>
      </c>
    </row>
    <row r="400">
      <c r="A400" s="9" t="inlineStr"/>
      <c r="B400" s="11" t="n">
        <v>10</v>
      </c>
      <c r="C400" s="11" t="n">
        <v>10</v>
      </c>
      <c r="D400" s="11" t="n">
        <v>25</v>
      </c>
      <c r="E400" s="20" t="n">
        <v>0.3</v>
      </c>
      <c r="F400" s="21" t="n">
        <v>0.643122</v>
      </c>
      <c r="G400" s="21" t="n">
        <v>6.99043</v>
      </c>
      <c r="H400" s="21" t="n">
        <v>18.106961</v>
      </c>
      <c r="I400" s="21" t="n">
        <v>0.132078</v>
      </c>
      <c r="J400" s="21" t="n">
        <v>16.191706</v>
      </c>
      <c r="K400" s="21" t="n">
        <v>1.678843</v>
      </c>
    </row>
    <row r="401">
      <c r="A401" s="9" t="inlineStr"/>
      <c r="B401" s="11" t="n">
        <v>10</v>
      </c>
      <c r="C401" s="11" t="n">
        <v>20</v>
      </c>
      <c r="D401" s="11" t="n">
        <v>25</v>
      </c>
      <c r="E401" s="20" t="n">
        <v>0.3</v>
      </c>
      <c r="F401" s="21" t="n">
        <v>0.643122</v>
      </c>
      <c r="G401" s="21" t="n">
        <v>6.99043</v>
      </c>
      <c r="H401" s="21" t="n">
        <v>18.106961</v>
      </c>
      <c r="I401" s="21" t="n">
        <v>0.132078</v>
      </c>
      <c r="J401" s="21" t="n">
        <v>16.191706</v>
      </c>
      <c r="K401" s="21" t="n">
        <v>1.678843</v>
      </c>
    </row>
    <row r="402">
      <c r="A402" s="9" t="inlineStr"/>
      <c r="B402" s="11" t="n">
        <v>10</v>
      </c>
      <c r="C402" s="11" t="n">
        <v>30</v>
      </c>
      <c r="D402" s="11" t="n">
        <v>1</v>
      </c>
      <c r="E402" s="20" t="n">
        <v>0.3</v>
      </c>
      <c r="F402" s="21" t="n">
        <v>0.741717</v>
      </c>
      <c r="G402" s="21" t="n">
        <v>6.608691</v>
      </c>
      <c r="H402" s="21" t="n">
        <v>12.39998</v>
      </c>
      <c r="I402" s="21" t="n">
        <v>0.099844</v>
      </c>
      <c r="J402" s="21" t="n">
        <v>16.761531</v>
      </c>
      <c r="K402" s="21" t="n">
        <v>1.735418</v>
      </c>
    </row>
    <row r="403">
      <c r="A403" s="9" t="inlineStr"/>
      <c r="B403" s="11" t="n">
        <v>10</v>
      </c>
      <c r="C403" s="11" t="n">
        <v>40</v>
      </c>
      <c r="D403" s="11" t="n">
        <v>1</v>
      </c>
      <c r="E403" s="20" t="n">
        <v>0.3</v>
      </c>
      <c r="F403" s="21" t="n">
        <v>0.741717</v>
      </c>
      <c r="G403" s="21" t="n">
        <v>6.608691</v>
      </c>
      <c r="H403" s="21" t="n">
        <v>12.39998</v>
      </c>
      <c r="I403" s="21" t="n">
        <v>0.099844</v>
      </c>
      <c r="J403" s="21" t="n">
        <v>16.761531</v>
      </c>
      <c r="K403" s="21" t="n">
        <v>1.735418</v>
      </c>
    </row>
    <row r="404">
      <c r="A404" s="9" t="inlineStr"/>
      <c r="B404" s="11" t="n">
        <v>10</v>
      </c>
      <c r="C404" s="11" t="n">
        <v>50</v>
      </c>
      <c r="D404" s="11" t="n">
        <v>25</v>
      </c>
      <c r="E404" s="20" t="n">
        <v>0.3</v>
      </c>
      <c r="F404" s="21" t="n">
        <v>0.643122</v>
      </c>
      <c r="G404" s="21" t="n">
        <v>6.99043</v>
      </c>
      <c r="H404" s="21" t="n">
        <v>18.106961</v>
      </c>
      <c r="I404" s="21" t="n">
        <v>0.132078</v>
      </c>
      <c r="J404" s="21" t="n">
        <v>16.191706</v>
      </c>
      <c r="K404" s="21" t="n">
        <v>1.678843</v>
      </c>
    </row>
    <row r="405">
      <c r="A405" s="8" t="inlineStr">
        <is>
          <t>Athena_soldier_in_trench_2_meting055</t>
        </is>
      </c>
      <c r="B405" s="11" t="n">
        <v>2</v>
      </c>
      <c r="C405" s="11" t="n">
        <v>10</v>
      </c>
      <c r="D405" s="11" t="n">
        <v>1</v>
      </c>
      <c r="E405" s="20" t="n">
        <v>1.1386</v>
      </c>
      <c r="F405" s="21" t="n">
        <v>0.443535</v>
      </c>
      <c r="G405" s="21" t="n">
        <v>6.761348</v>
      </c>
      <c r="H405" s="21" t="n">
        <v>32.764169</v>
      </c>
      <c r="I405" s="21" t="n">
        <v>0.108328</v>
      </c>
      <c r="J405" s="21" t="n">
        <v>18.415934</v>
      </c>
      <c r="K405" s="21" t="n">
        <v>1.472862</v>
      </c>
    </row>
    <row r="406">
      <c r="A406" s="9" t="inlineStr"/>
      <c r="B406" s="11" t="n">
        <v>2</v>
      </c>
      <c r="C406" s="11" t="n">
        <v>20</v>
      </c>
      <c r="D406" s="11" t="n">
        <v>3</v>
      </c>
      <c r="E406" s="20" t="n">
        <v>0.4092</v>
      </c>
      <c r="F406" s="21" t="n">
        <v>0.587608</v>
      </c>
      <c r="G406" s="21" t="n">
        <v>6.566149</v>
      </c>
      <c r="H406" s="21" t="n">
        <v>21.79594</v>
      </c>
      <c r="I406" s="21" t="n">
        <v>0.100347</v>
      </c>
      <c r="J406" s="21" t="n">
        <v>18.990063</v>
      </c>
      <c r="K406" s="21" t="n">
        <v>1.627054</v>
      </c>
    </row>
    <row r="407">
      <c r="A407" s="9" t="inlineStr"/>
      <c r="B407" s="11" t="n">
        <v>2</v>
      </c>
      <c r="C407" s="11" t="n">
        <v>30</v>
      </c>
      <c r="D407" s="11" t="n">
        <v>25</v>
      </c>
      <c r="E407" s="20" t="n">
        <v>0.3</v>
      </c>
      <c r="F407" s="21" t="n">
        <v>0.600325</v>
      </c>
      <c r="G407" s="21" t="n">
        <v>6.868522</v>
      </c>
      <c r="H407" s="21" t="n">
        <v>20.847516</v>
      </c>
      <c r="I407" s="21" t="n">
        <v>0.121056</v>
      </c>
      <c r="J407" s="21" t="n">
        <v>18.430414</v>
      </c>
      <c r="K407" s="21" t="n">
        <v>1.643194</v>
      </c>
    </row>
    <row r="408">
      <c r="A408" s="9" t="inlineStr"/>
      <c r="B408" s="13" t="n">
        <v>2</v>
      </c>
      <c r="C408" s="13" t="n">
        <v>40</v>
      </c>
      <c r="D408" s="13" t="n">
        <v>1</v>
      </c>
      <c r="E408" s="22" t="n">
        <v>0.3</v>
      </c>
      <c r="F408" s="23" t="n">
        <v>0.715598</v>
      </c>
      <c r="G408" s="23" t="n">
        <v>6.402879</v>
      </c>
      <c r="H408" s="23" t="n">
        <v>14.153837</v>
      </c>
      <c r="I408" s="23" t="n">
        <v>0.084686</v>
      </c>
      <c r="J408" s="23" t="n">
        <v>19.498907</v>
      </c>
      <c r="K408" s="23" t="n">
        <v>1.710947</v>
      </c>
    </row>
    <row r="409">
      <c r="A409" s="9" t="inlineStr"/>
      <c r="B409" s="11" t="n">
        <v>2</v>
      </c>
      <c r="C409" s="11" t="n">
        <v>50</v>
      </c>
      <c r="D409" s="11" t="n">
        <v>16</v>
      </c>
      <c r="E409" s="20" t="n">
        <v>0.3</v>
      </c>
      <c r="F409" s="21" t="n">
        <v>0.605553</v>
      </c>
      <c r="G409" s="21" t="n">
        <v>6.752852</v>
      </c>
      <c r="H409" s="21" t="n">
        <v>20.538059</v>
      </c>
      <c r="I409" s="21" t="n">
        <v>0.113698</v>
      </c>
      <c r="J409" s="21" t="n">
        <v>18.684762</v>
      </c>
      <c r="K409" s="21" t="n">
        <v>1.635471</v>
      </c>
    </row>
    <row r="410">
      <c r="A410" s="9" t="inlineStr"/>
      <c r="B410" s="11" t="n">
        <v>4</v>
      </c>
      <c r="C410" s="11" t="n">
        <v>10</v>
      </c>
      <c r="D410" s="11" t="n">
        <v>1</v>
      </c>
      <c r="E410" s="20" t="n">
        <v>0.3</v>
      </c>
      <c r="F410" s="21" t="n">
        <v>0.715598</v>
      </c>
      <c r="G410" s="21" t="n">
        <v>6.402879</v>
      </c>
      <c r="H410" s="21" t="n">
        <v>14.153837</v>
      </c>
      <c r="I410" s="21" t="n">
        <v>0.084686</v>
      </c>
      <c r="J410" s="21" t="n">
        <v>19.498907</v>
      </c>
      <c r="K410" s="21" t="n">
        <v>1.710947</v>
      </c>
    </row>
    <row r="411">
      <c r="A411" s="9" t="inlineStr"/>
      <c r="B411" s="11" t="n">
        <v>4</v>
      </c>
      <c r="C411" s="11" t="n">
        <v>20</v>
      </c>
      <c r="D411" s="11" t="n">
        <v>25</v>
      </c>
      <c r="E411" s="20" t="n">
        <v>0.3</v>
      </c>
      <c r="F411" s="21" t="n">
        <v>0.600325</v>
      </c>
      <c r="G411" s="21" t="n">
        <v>6.868522</v>
      </c>
      <c r="H411" s="21" t="n">
        <v>20.847516</v>
      </c>
      <c r="I411" s="21" t="n">
        <v>0.121056</v>
      </c>
      <c r="J411" s="21" t="n">
        <v>18.430414</v>
      </c>
      <c r="K411" s="21" t="n">
        <v>1.643194</v>
      </c>
    </row>
    <row r="412">
      <c r="A412" s="9" t="inlineStr"/>
      <c r="B412" s="11" t="n">
        <v>4</v>
      </c>
      <c r="C412" s="11" t="n">
        <v>30</v>
      </c>
      <c r="D412" s="11" t="n">
        <v>1</v>
      </c>
      <c r="E412" s="20" t="n">
        <v>0.3</v>
      </c>
      <c r="F412" s="21" t="n">
        <v>0.715598</v>
      </c>
      <c r="G412" s="21" t="n">
        <v>6.402879</v>
      </c>
      <c r="H412" s="21" t="n">
        <v>14.153837</v>
      </c>
      <c r="I412" s="21" t="n">
        <v>0.084686</v>
      </c>
      <c r="J412" s="21" t="n">
        <v>19.498907</v>
      </c>
      <c r="K412" s="21" t="n">
        <v>1.710947</v>
      </c>
    </row>
    <row r="413">
      <c r="A413" s="9" t="inlineStr"/>
      <c r="B413" s="11" t="n">
        <v>4</v>
      </c>
      <c r="C413" s="11" t="n">
        <v>40</v>
      </c>
      <c r="D413" s="11" t="n">
        <v>1</v>
      </c>
      <c r="E413" s="20" t="n">
        <v>0.3</v>
      </c>
      <c r="F413" s="21" t="n">
        <v>0.715598</v>
      </c>
      <c r="G413" s="21" t="n">
        <v>6.402879</v>
      </c>
      <c r="H413" s="21" t="n">
        <v>14.153837</v>
      </c>
      <c r="I413" s="21" t="n">
        <v>0.084686</v>
      </c>
      <c r="J413" s="21" t="n">
        <v>19.498907</v>
      </c>
      <c r="K413" s="21" t="n">
        <v>1.710947</v>
      </c>
    </row>
    <row r="414">
      <c r="A414" s="9" t="inlineStr"/>
      <c r="B414" s="11" t="n">
        <v>4</v>
      </c>
      <c r="C414" s="11" t="n">
        <v>50</v>
      </c>
      <c r="D414" s="11" t="n">
        <v>1</v>
      </c>
      <c r="E414" s="20" t="n">
        <v>0.3</v>
      </c>
      <c r="F414" s="21" t="n">
        <v>0.715598</v>
      </c>
      <c r="G414" s="21" t="n">
        <v>6.402879</v>
      </c>
      <c r="H414" s="21" t="n">
        <v>14.153837</v>
      </c>
      <c r="I414" s="21" t="n">
        <v>0.084686</v>
      </c>
      <c r="J414" s="21" t="n">
        <v>19.498907</v>
      </c>
      <c r="K414" s="21" t="n">
        <v>1.710947</v>
      </c>
    </row>
    <row r="415">
      <c r="A415" s="9" t="inlineStr"/>
      <c r="B415" s="11" t="n">
        <v>6</v>
      </c>
      <c r="C415" s="11" t="n">
        <v>10</v>
      </c>
      <c r="D415" s="11" t="n">
        <v>25</v>
      </c>
      <c r="E415" s="20" t="n">
        <v>0.3</v>
      </c>
      <c r="F415" s="21" t="n">
        <v>0.600325</v>
      </c>
      <c r="G415" s="21" t="n">
        <v>6.868522</v>
      </c>
      <c r="H415" s="21" t="n">
        <v>20.847516</v>
      </c>
      <c r="I415" s="21" t="n">
        <v>0.121056</v>
      </c>
      <c r="J415" s="21" t="n">
        <v>18.430414</v>
      </c>
      <c r="K415" s="21" t="n">
        <v>1.643194</v>
      </c>
    </row>
    <row r="416">
      <c r="A416" s="9" t="inlineStr"/>
      <c r="B416" s="11" t="n">
        <v>6</v>
      </c>
      <c r="C416" s="11" t="n">
        <v>20</v>
      </c>
      <c r="D416" s="11" t="n">
        <v>2</v>
      </c>
      <c r="E416" s="20" t="n">
        <v>0.3</v>
      </c>
      <c r="F416" s="21" t="n">
        <v>0.676048</v>
      </c>
      <c r="G416" s="21" t="n">
        <v>6.457037</v>
      </c>
      <c r="H416" s="21" t="n">
        <v>16.929887</v>
      </c>
      <c r="I416" s="21" t="n">
        <v>0.091386</v>
      </c>
      <c r="J416" s="21" t="n">
        <v>19.328224</v>
      </c>
      <c r="K416" s="21" t="n">
        <v>1.710947</v>
      </c>
    </row>
    <row r="417">
      <c r="A417" s="9" t="inlineStr"/>
      <c r="B417" s="11" t="n">
        <v>6</v>
      </c>
      <c r="C417" s="11" t="n">
        <v>30</v>
      </c>
      <c r="D417" s="11" t="n">
        <v>1</v>
      </c>
      <c r="E417" s="20" t="n">
        <v>0.3</v>
      </c>
      <c r="F417" s="21" t="n">
        <v>0.715598</v>
      </c>
      <c r="G417" s="21" t="n">
        <v>6.402879</v>
      </c>
      <c r="H417" s="21" t="n">
        <v>14.153837</v>
      </c>
      <c r="I417" s="21" t="n">
        <v>0.084686</v>
      </c>
      <c r="J417" s="21" t="n">
        <v>19.498907</v>
      </c>
      <c r="K417" s="21" t="n">
        <v>1.710947</v>
      </c>
    </row>
    <row r="418">
      <c r="A418" s="9" t="inlineStr"/>
      <c r="B418" s="11" t="n">
        <v>6</v>
      </c>
      <c r="C418" s="11" t="n">
        <v>40</v>
      </c>
      <c r="D418" s="11" t="n">
        <v>25</v>
      </c>
      <c r="E418" s="20" t="n">
        <v>0.3</v>
      </c>
      <c r="F418" s="21" t="n">
        <v>0.600325</v>
      </c>
      <c r="G418" s="21" t="n">
        <v>6.868522</v>
      </c>
      <c r="H418" s="21" t="n">
        <v>20.847516</v>
      </c>
      <c r="I418" s="21" t="n">
        <v>0.121056</v>
      </c>
      <c r="J418" s="21" t="n">
        <v>18.430414</v>
      </c>
      <c r="K418" s="21" t="n">
        <v>1.643194</v>
      </c>
    </row>
    <row r="419">
      <c r="A419" s="9" t="inlineStr"/>
      <c r="B419" s="11" t="n">
        <v>6</v>
      </c>
      <c r="C419" s="11" t="n">
        <v>50</v>
      </c>
      <c r="D419" s="11" t="n">
        <v>1</v>
      </c>
      <c r="E419" s="20" t="n">
        <v>0.3</v>
      </c>
      <c r="F419" s="21" t="n">
        <v>0.715598</v>
      </c>
      <c r="G419" s="21" t="n">
        <v>6.402879</v>
      </c>
      <c r="H419" s="21" t="n">
        <v>14.153837</v>
      </c>
      <c r="I419" s="21" t="n">
        <v>0.084686</v>
      </c>
      <c r="J419" s="21" t="n">
        <v>19.498907</v>
      </c>
      <c r="K419" s="21" t="n">
        <v>1.710947</v>
      </c>
    </row>
    <row r="420">
      <c r="A420" s="9" t="inlineStr"/>
      <c r="B420" s="11" t="n">
        <v>8</v>
      </c>
      <c r="C420" s="11" t="n">
        <v>10</v>
      </c>
      <c r="D420" s="11" t="n">
        <v>1</v>
      </c>
      <c r="E420" s="20" t="n">
        <v>0.3</v>
      </c>
      <c r="F420" s="21" t="n">
        <v>0.715598</v>
      </c>
      <c r="G420" s="21" t="n">
        <v>6.402879</v>
      </c>
      <c r="H420" s="21" t="n">
        <v>14.153837</v>
      </c>
      <c r="I420" s="21" t="n">
        <v>0.084686</v>
      </c>
      <c r="J420" s="21" t="n">
        <v>19.498907</v>
      </c>
      <c r="K420" s="21" t="n">
        <v>1.710947</v>
      </c>
    </row>
    <row r="421">
      <c r="A421" s="9" t="inlineStr"/>
      <c r="B421" s="11" t="n">
        <v>8</v>
      </c>
      <c r="C421" s="11" t="n">
        <v>20</v>
      </c>
      <c r="D421" s="11" t="n">
        <v>25</v>
      </c>
      <c r="E421" s="20" t="n">
        <v>0.3</v>
      </c>
      <c r="F421" s="21" t="n">
        <v>0.600325</v>
      </c>
      <c r="G421" s="21" t="n">
        <v>6.868522</v>
      </c>
      <c r="H421" s="21" t="n">
        <v>20.847516</v>
      </c>
      <c r="I421" s="21" t="n">
        <v>0.121056</v>
      </c>
      <c r="J421" s="21" t="n">
        <v>18.430414</v>
      </c>
      <c r="K421" s="21" t="n">
        <v>1.643194</v>
      </c>
    </row>
    <row r="422">
      <c r="A422" s="9" t="inlineStr"/>
      <c r="B422" s="11" t="n">
        <v>8</v>
      </c>
      <c r="C422" s="11" t="n">
        <v>30</v>
      </c>
      <c r="D422" s="11" t="n">
        <v>1</v>
      </c>
      <c r="E422" s="20" t="n">
        <v>0.3</v>
      </c>
      <c r="F422" s="21" t="n">
        <v>0.715598</v>
      </c>
      <c r="G422" s="21" t="n">
        <v>6.402879</v>
      </c>
      <c r="H422" s="21" t="n">
        <v>14.153837</v>
      </c>
      <c r="I422" s="21" t="n">
        <v>0.084686</v>
      </c>
      <c r="J422" s="21" t="n">
        <v>19.498907</v>
      </c>
      <c r="K422" s="21" t="n">
        <v>1.710947</v>
      </c>
    </row>
    <row r="423">
      <c r="A423" s="9" t="inlineStr"/>
      <c r="B423" s="11" t="n">
        <v>8</v>
      </c>
      <c r="C423" s="11" t="n">
        <v>40</v>
      </c>
      <c r="D423" s="11" t="n">
        <v>25</v>
      </c>
      <c r="E423" s="20" t="n">
        <v>0.3</v>
      </c>
      <c r="F423" s="21" t="n">
        <v>0.600325</v>
      </c>
      <c r="G423" s="21" t="n">
        <v>6.868522</v>
      </c>
      <c r="H423" s="21" t="n">
        <v>20.847516</v>
      </c>
      <c r="I423" s="21" t="n">
        <v>0.121056</v>
      </c>
      <c r="J423" s="21" t="n">
        <v>18.430414</v>
      </c>
      <c r="K423" s="21" t="n">
        <v>1.643194</v>
      </c>
    </row>
    <row r="424">
      <c r="A424" s="9" t="inlineStr"/>
      <c r="B424" s="11" t="n">
        <v>8</v>
      </c>
      <c r="C424" s="11" t="n">
        <v>50</v>
      </c>
      <c r="D424" s="11" t="n">
        <v>1</v>
      </c>
      <c r="E424" s="20" t="n">
        <v>0.3</v>
      </c>
      <c r="F424" s="21" t="n">
        <v>0.715598</v>
      </c>
      <c r="G424" s="21" t="n">
        <v>6.402879</v>
      </c>
      <c r="H424" s="21" t="n">
        <v>14.153837</v>
      </c>
      <c r="I424" s="21" t="n">
        <v>0.084686</v>
      </c>
      <c r="J424" s="21" t="n">
        <v>19.498907</v>
      </c>
      <c r="K424" s="21" t="n">
        <v>1.710947</v>
      </c>
    </row>
    <row r="425">
      <c r="A425" s="9" t="inlineStr"/>
      <c r="B425" s="11" t="n">
        <v>10</v>
      </c>
      <c r="C425" s="11" t="n">
        <v>10</v>
      </c>
      <c r="D425" s="11" t="n">
        <v>1</v>
      </c>
      <c r="E425" s="20" t="n">
        <v>0.3</v>
      </c>
      <c r="F425" s="21" t="n">
        <v>0.715598</v>
      </c>
      <c r="G425" s="21" t="n">
        <v>6.402879</v>
      </c>
      <c r="H425" s="21" t="n">
        <v>14.153837</v>
      </c>
      <c r="I425" s="21" t="n">
        <v>0.084686</v>
      </c>
      <c r="J425" s="21" t="n">
        <v>19.498907</v>
      </c>
      <c r="K425" s="21" t="n">
        <v>1.710947</v>
      </c>
    </row>
    <row r="426">
      <c r="A426" s="9" t="inlineStr"/>
      <c r="B426" s="11" t="n">
        <v>10</v>
      </c>
      <c r="C426" s="11" t="n">
        <v>20</v>
      </c>
      <c r="D426" s="11" t="n">
        <v>1</v>
      </c>
      <c r="E426" s="20" t="n">
        <v>0.3</v>
      </c>
      <c r="F426" s="21" t="n">
        <v>0.715598</v>
      </c>
      <c r="G426" s="21" t="n">
        <v>6.402879</v>
      </c>
      <c r="H426" s="21" t="n">
        <v>14.153837</v>
      </c>
      <c r="I426" s="21" t="n">
        <v>0.084686</v>
      </c>
      <c r="J426" s="21" t="n">
        <v>19.498907</v>
      </c>
      <c r="K426" s="21" t="n">
        <v>1.710947</v>
      </c>
    </row>
    <row r="427">
      <c r="A427" s="9" t="inlineStr"/>
      <c r="B427" s="11" t="n">
        <v>10</v>
      </c>
      <c r="C427" s="11" t="n">
        <v>30</v>
      </c>
      <c r="D427" s="11" t="n">
        <v>1</v>
      </c>
      <c r="E427" s="20" t="n">
        <v>0.3</v>
      </c>
      <c r="F427" s="21" t="n">
        <v>0.715598</v>
      </c>
      <c r="G427" s="21" t="n">
        <v>6.402879</v>
      </c>
      <c r="H427" s="21" t="n">
        <v>14.153837</v>
      </c>
      <c r="I427" s="21" t="n">
        <v>0.084686</v>
      </c>
      <c r="J427" s="21" t="n">
        <v>19.498907</v>
      </c>
      <c r="K427" s="21" t="n">
        <v>1.710947</v>
      </c>
    </row>
    <row r="428">
      <c r="A428" s="9" t="inlineStr"/>
      <c r="B428" s="11" t="n">
        <v>10</v>
      </c>
      <c r="C428" s="11" t="n">
        <v>40</v>
      </c>
      <c r="D428" s="11" t="n">
        <v>25</v>
      </c>
      <c r="E428" s="20" t="n">
        <v>0.3</v>
      </c>
      <c r="F428" s="21" t="n">
        <v>0.600325</v>
      </c>
      <c r="G428" s="21" t="n">
        <v>6.868522</v>
      </c>
      <c r="H428" s="21" t="n">
        <v>20.847516</v>
      </c>
      <c r="I428" s="21" t="n">
        <v>0.121056</v>
      </c>
      <c r="J428" s="21" t="n">
        <v>18.430414</v>
      </c>
      <c r="K428" s="21" t="n">
        <v>1.643194</v>
      </c>
    </row>
    <row r="429">
      <c r="A429" s="9" t="inlineStr"/>
      <c r="B429" s="11" t="n">
        <v>10</v>
      </c>
      <c r="C429" s="11" t="n">
        <v>50</v>
      </c>
      <c r="D429" s="11" t="n">
        <v>1</v>
      </c>
      <c r="E429" s="20" t="n">
        <v>0.3</v>
      </c>
      <c r="F429" s="21" t="n">
        <v>0.715598</v>
      </c>
      <c r="G429" s="21" t="n">
        <v>6.402879</v>
      </c>
      <c r="H429" s="21" t="n">
        <v>14.153837</v>
      </c>
      <c r="I429" s="21" t="n">
        <v>0.084686</v>
      </c>
      <c r="J429" s="21" t="n">
        <v>19.498907</v>
      </c>
      <c r="K429" s="21" t="n">
        <v>1.710947</v>
      </c>
    </row>
    <row r="430">
      <c r="A430" s="8" t="inlineStr">
        <is>
          <t>Triclobs_Bosnia_R</t>
        </is>
      </c>
      <c r="B430" s="13" t="n">
        <v>2</v>
      </c>
      <c r="C430" s="13" t="n">
        <v>10</v>
      </c>
      <c r="D430" s="13" t="n">
        <v>1</v>
      </c>
      <c r="E430" s="22" t="n">
        <v>0.3</v>
      </c>
      <c r="F430" s="23" t="n">
        <v>0.745641</v>
      </c>
      <c r="G430" s="23" t="n">
        <v>6.686366</v>
      </c>
      <c r="H430" s="23" t="n">
        <v>13.215671</v>
      </c>
      <c r="I430" s="23" t="n">
        <v>0.189321</v>
      </c>
      <c r="J430" s="23" t="n">
        <v>15.792454</v>
      </c>
      <c r="K430" s="23" t="n">
        <v>1.739361</v>
      </c>
    </row>
    <row r="431">
      <c r="A431" s="9" t="inlineStr"/>
      <c r="B431" s="11" t="n">
        <v>2</v>
      </c>
      <c r="C431" s="11" t="n">
        <v>20</v>
      </c>
      <c r="D431" s="11" t="n">
        <v>25</v>
      </c>
      <c r="E431" s="20" t="n">
        <v>0.3</v>
      </c>
      <c r="F431" s="21" t="n">
        <v>0.685311</v>
      </c>
      <c r="G431" s="21" t="n">
        <v>6.975378</v>
      </c>
      <c r="H431" s="21" t="n">
        <v>18.866597</v>
      </c>
      <c r="I431" s="21" t="n">
        <v>0.223644</v>
      </c>
      <c r="J431" s="21" t="n">
        <v>15.009833</v>
      </c>
      <c r="K431" s="21" t="n">
        <v>1.707332</v>
      </c>
    </row>
    <row r="432">
      <c r="A432" s="9" t="inlineStr"/>
      <c r="B432" s="11" t="n">
        <v>2</v>
      </c>
      <c r="C432" s="11" t="n">
        <v>30</v>
      </c>
      <c r="D432" s="11" t="n">
        <v>25</v>
      </c>
      <c r="E432" s="20" t="n">
        <v>0.3</v>
      </c>
      <c r="F432" s="21" t="n">
        <v>0.685311</v>
      </c>
      <c r="G432" s="21" t="n">
        <v>6.975378</v>
      </c>
      <c r="H432" s="21" t="n">
        <v>18.866597</v>
      </c>
      <c r="I432" s="21" t="n">
        <v>0.223644</v>
      </c>
      <c r="J432" s="21" t="n">
        <v>15.009833</v>
      </c>
      <c r="K432" s="21" t="n">
        <v>1.707332</v>
      </c>
    </row>
    <row r="433">
      <c r="A433" s="9" t="inlineStr"/>
      <c r="B433" s="11" t="n">
        <v>2</v>
      </c>
      <c r="C433" s="11" t="n">
        <v>40</v>
      </c>
      <c r="D433" s="11" t="n">
        <v>1</v>
      </c>
      <c r="E433" s="20" t="n">
        <v>0.3</v>
      </c>
      <c r="F433" s="21" t="n">
        <v>0.745641</v>
      </c>
      <c r="G433" s="21" t="n">
        <v>6.686366</v>
      </c>
      <c r="H433" s="21" t="n">
        <v>13.215671</v>
      </c>
      <c r="I433" s="21" t="n">
        <v>0.189321</v>
      </c>
      <c r="J433" s="21" t="n">
        <v>15.792454</v>
      </c>
      <c r="K433" s="21" t="n">
        <v>1.739361</v>
      </c>
    </row>
    <row r="434">
      <c r="A434" s="9" t="inlineStr"/>
      <c r="B434" s="11" t="n">
        <v>2</v>
      </c>
      <c r="C434" s="11" t="n">
        <v>50</v>
      </c>
      <c r="D434" s="11" t="n">
        <v>25</v>
      </c>
      <c r="E434" s="20" t="n">
        <v>0.3</v>
      </c>
      <c r="F434" s="21" t="n">
        <v>0.685311</v>
      </c>
      <c r="G434" s="21" t="n">
        <v>6.975378</v>
      </c>
      <c r="H434" s="21" t="n">
        <v>18.866597</v>
      </c>
      <c r="I434" s="21" t="n">
        <v>0.223644</v>
      </c>
      <c r="J434" s="21" t="n">
        <v>15.009833</v>
      </c>
      <c r="K434" s="21" t="n">
        <v>1.707332</v>
      </c>
    </row>
    <row r="435">
      <c r="A435" s="9" t="inlineStr"/>
      <c r="B435" s="11" t="n">
        <v>4</v>
      </c>
      <c r="C435" s="11" t="n">
        <v>10</v>
      </c>
      <c r="D435" s="11" t="n">
        <v>25</v>
      </c>
      <c r="E435" s="20" t="n">
        <v>0.3</v>
      </c>
      <c r="F435" s="21" t="n">
        <v>0.685311</v>
      </c>
      <c r="G435" s="21" t="n">
        <v>6.975378</v>
      </c>
      <c r="H435" s="21" t="n">
        <v>18.866597</v>
      </c>
      <c r="I435" s="21" t="n">
        <v>0.223644</v>
      </c>
      <c r="J435" s="21" t="n">
        <v>15.009833</v>
      </c>
      <c r="K435" s="21" t="n">
        <v>1.707332</v>
      </c>
    </row>
    <row r="436">
      <c r="A436" s="9" t="inlineStr"/>
      <c r="B436" s="11" t="n">
        <v>4</v>
      </c>
      <c r="C436" s="11" t="n">
        <v>20</v>
      </c>
      <c r="D436" s="11" t="n">
        <v>25</v>
      </c>
      <c r="E436" s="20" t="n">
        <v>0.3</v>
      </c>
      <c r="F436" s="21" t="n">
        <v>0.685311</v>
      </c>
      <c r="G436" s="21" t="n">
        <v>6.975378</v>
      </c>
      <c r="H436" s="21" t="n">
        <v>18.866597</v>
      </c>
      <c r="I436" s="21" t="n">
        <v>0.223644</v>
      </c>
      <c r="J436" s="21" t="n">
        <v>15.009833</v>
      </c>
      <c r="K436" s="21" t="n">
        <v>1.707332</v>
      </c>
    </row>
    <row r="437">
      <c r="A437" s="9" t="inlineStr"/>
      <c r="B437" s="11" t="n">
        <v>4</v>
      </c>
      <c r="C437" s="11" t="n">
        <v>30</v>
      </c>
      <c r="D437" s="11" t="n">
        <v>1</v>
      </c>
      <c r="E437" s="20" t="n">
        <v>0.3</v>
      </c>
      <c r="F437" s="21" t="n">
        <v>0.745641</v>
      </c>
      <c r="G437" s="21" t="n">
        <v>6.686366</v>
      </c>
      <c r="H437" s="21" t="n">
        <v>13.215671</v>
      </c>
      <c r="I437" s="21" t="n">
        <v>0.189321</v>
      </c>
      <c r="J437" s="21" t="n">
        <v>15.792454</v>
      </c>
      <c r="K437" s="21" t="n">
        <v>1.739361</v>
      </c>
    </row>
    <row r="438">
      <c r="A438" s="9" t="inlineStr"/>
      <c r="B438" s="11" t="n">
        <v>4</v>
      </c>
      <c r="C438" s="11" t="n">
        <v>40</v>
      </c>
      <c r="D438" s="11" t="n">
        <v>1</v>
      </c>
      <c r="E438" s="20" t="n">
        <v>0.3</v>
      </c>
      <c r="F438" s="21" t="n">
        <v>0.745641</v>
      </c>
      <c r="G438" s="21" t="n">
        <v>6.686366</v>
      </c>
      <c r="H438" s="21" t="n">
        <v>13.215671</v>
      </c>
      <c r="I438" s="21" t="n">
        <v>0.189321</v>
      </c>
      <c r="J438" s="21" t="n">
        <v>15.792454</v>
      </c>
      <c r="K438" s="21" t="n">
        <v>1.739361</v>
      </c>
    </row>
    <row r="439">
      <c r="A439" s="9" t="inlineStr"/>
      <c r="B439" s="11" t="n">
        <v>4</v>
      </c>
      <c r="C439" s="11" t="n">
        <v>50</v>
      </c>
      <c r="D439" s="11" t="n">
        <v>1</v>
      </c>
      <c r="E439" s="20" t="n">
        <v>0.3</v>
      </c>
      <c r="F439" s="21" t="n">
        <v>0.745641</v>
      </c>
      <c r="G439" s="21" t="n">
        <v>6.686366</v>
      </c>
      <c r="H439" s="21" t="n">
        <v>13.215671</v>
      </c>
      <c r="I439" s="21" t="n">
        <v>0.189321</v>
      </c>
      <c r="J439" s="21" t="n">
        <v>15.792454</v>
      </c>
      <c r="K439" s="21" t="n">
        <v>1.739361</v>
      </c>
    </row>
    <row r="440">
      <c r="A440" s="9" t="inlineStr"/>
      <c r="B440" s="11" t="n">
        <v>6</v>
      </c>
      <c r="C440" s="11" t="n">
        <v>10</v>
      </c>
      <c r="D440" s="11" t="n">
        <v>1</v>
      </c>
      <c r="E440" s="20" t="n">
        <v>0.3</v>
      </c>
      <c r="F440" s="21" t="n">
        <v>0.745641</v>
      </c>
      <c r="G440" s="21" t="n">
        <v>6.686366</v>
      </c>
      <c r="H440" s="21" t="n">
        <v>13.215671</v>
      </c>
      <c r="I440" s="21" t="n">
        <v>0.189321</v>
      </c>
      <c r="J440" s="21" t="n">
        <v>15.792454</v>
      </c>
      <c r="K440" s="21" t="n">
        <v>1.739361</v>
      </c>
    </row>
    <row r="441">
      <c r="A441" s="9" t="inlineStr"/>
      <c r="B441" s="11" t="n">
        <v>6</v>
      </c>
      <c r="C441" s="11" t="n">
        <v>20</v>
      </c>
      <c r="D441" s="11" t="n">
        <v>25</v>
      </c>
      <c r="E441" s="20" t="n">
        <v>0.3</v>
      </c>
      <c r="F441" s="21" t="n">
        <v>0.685311</v>
      </c>
      <c r="G441" s="21" t="n">
        <v>6.975378</v>
      </c>
      <c r="H441" s="21" t="n">
        <v>18.866597</v>
      </c>
      <c r="I441" s="21" t="n">
        <v>0.223644</v>
      </c>
      <c r="J441" s="21" t="n">
        <v>15.009833</v>
      </c>
      <c r="K441" s="21" t="n">
        <v>1.707332</v>
      </c>
    </row>
    <row r="442">
      <c r="A442" s="9" t="inlineStr"/>
      <c r="B442" s="11" t="n">
        <v>6</v>
      </c>
      <c r="C442" s="11" t="n">
        <v>30</v>
      </c>
      <c r="D442" s="11" t="n">
        <v>1</v>
      </c>
      <c r="E442" s="20" t="n">
        <v>0.3</v>
      </c>
      <c r="F442" s="21" t="n">
        <v>0.745641</v>
      </c>
      <c r="G442" s="21" t="n">
        <v>6.686366</v>
      </c>
      <c r="H442" s="21" t="n">
        <v>13.215671</v>
      </c>
      <c r="I442" s="21" t="n">
        <v>0.189321</v>
      </c>
      <c r="J442" s="21" t="n">
        <v>15.792454</v>
      </c>
      <c r="K442" s="21" t="n">
        <v>1.739361</v>
      </c>
    </row>
    <row r="443">
      <c r="A443" s="9" t="inlineStr"/>
      <c r="B443" s="11" t="n">
        <v>6</v>
      </c>
      <c r="C443" s="11" t="n">
        <v>40</v>
      </c>
      <c r="D443" s="11" t="n">
        <v>25</v>
      </c>
      <c r="E443" s="20" t="n">
        <v>0.3</v>
      </c>
      <c r="F443" s="21" t="n">
        <v>0.685311</v>
      </c>
      <c r="G443" s="21" t="n">
        <v>6.975378</v>
      </c>
      <c r="H443" s="21" t="n">
        <v>18.866597</v>
      </c>
      <c r="I443" s="21" t="n">
        <v>0.223644</v>
      </c>
      <c r="J443" s="21" t="n">
        <v>15.009833</v>
      </c>
      <c r="K443" s="21" t="n">
        <v>1.707332</v>
      </c>
    </row>
    <row r="444">
      <c r="A444" s="9" t="inlineStr"/>
      <c r="B444" s="11" t="n">
        <v>6</v>
      </c>
      <c r="C444" s="11" t="n">
        <v>50</v>
      </c>
      <c r="D444" s="11" t="n">
        <v>1</v>
      </c>
      <c r="E444" s="20" t="n">
        <v>0.3</v>
      </c>
      <c r="F444" s="21" t="n">
        <v>0.745641</v>
      </c>
      <c r="G444" s="21" t="n">
        <v>6.686366</v>
      </c>
      <c r="H444" s="21" t="n">
        <v>13.215671</v>
      </c>
      <c r="I444" s="21" t="n">
        <v>0.189321</v>
      </c>
      <c r="J444" s="21" t="n">
        <v>15.792454</v>
      </c>
      <c r="K444" s="21" t="n">
        <v>1.739361</v>
      </c>
    </row>
    <row r="445">
      <c r="A445" s="9" t="inlineStr"/>
      <c r="B445" s="11" t="n">
        <v>8</v>
      </c>
      <c r="C445" s="11" t="n">
        <v>10</v>
      </c>
      <c r="D445" s="11" t="n">
        <v>1</v>
      </c>
      <c r="E445" s="20" t="n">
        <v>0.3</v>
      </c>
      <c r="F445" s="21" t="n">
        <v>0.745641</v>
      </c>
      <c r="G445" s="21" t="n">
        <v>6.686366</v>
      </c>
      <c r="H445" s="21" t="n">
        <v>13.215671</v>
      </c>
      <c r="I445" s="21" t="n">
        <v>0.189321</v>
      </c>
      <c r="J445" s="21" t="n">
        <v>15.792454</v>
      </c>
      <c r="K445" s="21" t="n">
        <v>1.739361</v>
      </c>
    </row>
    <row r="446">
      <c r="A446" s="9" t="inlineStr"/>
      <c r="B446" s="11" t="n">
        <v>8</v>
      </c>
      <c r="C446" s="11" t="n">
        <v>20</v>
      </c>
      <c r="D446" s="11" t="n">
        <v>25</v>
      </c>
      <c r="E446" s="20" t="n">
        <v>0.3</v>
      </c>
      <c r="F446" s="21" t="n">
        <v>0.685311</v>
      </c>
      <c r="G446" s="21" t="n">
        <v>6.975378</v>
      </c>
      <c r="H446" s="21" t="n">
        <v>18.866597</v>
      </c>
      <c r="I446" s="21" t="n">
        <v>0.223644</v>
      </c>
      <c r="J446" s="21" t="n">
        <v>15.009833</v>
      </c>
      <c r="K446" s="21" t="n">
        <v>1.707332</v>
      </c>
    </row>
    <row r="447">
      <c r="A447" s="9" t="inlineStr"/>
      <c r="B447" s="11" t="n">
        <v>8</v>
      </c>
      <c r="C447" s="11" t="n">
        <v>30</v>
      </c>
      <c r="D447" s="11" t="n">
        <v>1</v>
      </c>
      <c r="E447" s="20" t="n">
        <v>0.3</v>
      </c>
      <c r="F447" s="21" t="n">
        <v>0.745641</v>
      </c>
      <c r="G447" s="21" t="n">
        <v>6.686366</v>
      </c>
      <c r="H447" s="21" t="n">
        <v>13.215671</v>
      </c>
      <c r="I447" s="21" t="n">
        <v>0.189321</v>
      </c>
      <c r="J447" s="21" t="n">
        <v>15.792454</v>
      </c>
      <c r="K447" s="21" t="n">
        <v>1.739361</v>
      </c>
    </row>
    <row r="448">
      <c r="A448" s="9" t="inlineStr"/>
      <c r="B448" s="11" t="n">
        <v>8</v>
      </c>
      <c r="C448" s="11" t="n">
        <v>40</v>
      </c>
      <c r="D448" s="11" t="n">
        <v>1</v>
      </c>
      <c r="E448" s="20" t="n">
        <v>0.3</v>
      </c>
      <c r="F448" s="21" t="n">
        <v>0.745641</v>
      </c>
      <c r="G448" s="21" t="n">
        <v>6.686366</v>
      </c>
      <c r="H448" s="21" t="n">
        <v>13.215671</v>
      </c>
      <c r="I448" s="21" t="n">
        <v>0.189321</v>
      </c>
      <c r="J448" s="21" t="n">
        <v>15.792454</v>
      </c>
      <c r="K448" s="21" t="n">
        <v>1.739361</v>
      </c>
    </row>
    <row r="449">
      <c r="A449" s="9" t="inlineStr"/>
      <c r="B449" s="11" t="n">
        <v>8</v>
      </c>
      <c r="C449" s="11" t="n">
        <v>50</v>
      </c>
      <c r="D449" s="11" t="n">
        <v>1</v>
      </c>
      <c r="E449" s="20" t="n">
        <v>0.3</v>
      </c>
      <c r="F449" s="21" t="n">
        <v>0.745641</v>
      </c>
      <c r="G449" s="21" t="n">
        <v>6.686366</v>
      </c>
      <c r="H449" s="21" t="n">
        <v>13.215671</v>
      </c>
      <c r="I449" s="21" t="n">
        <v>0.189321</v>
      </c>
      <c r="J449" s="21" t="n">
        <v>15.792454</v>
      </c>
      <c r="K449" s="21" t="n">
        <v>1.739361</v>
      </c>
    </row>
    <row r="450">
      <c r="A450" s="9" t="inlineStr"/>
      <c r="B450" s="11" t="n">
        <v>10</v>
      </c>
      <c r="C450" s="11" t="n">
        <v>10</v>
      </c>
      <c r="D450" s="11" t="n">
        <v>1</v>
      </c>
      <c r="E450" s="20" t="n">
        <v>0.3</v>
      </c>
      <c r="F450" s="21" t="n">
        <v>0.745641</v>
      </c>
      <c r="G450" s="21" t="n">
        <v>6.686366</v>
      </c>
      <c r="H450" s="21" t="n">
        <v>13.215671</v>
      </c>
      <c r="I450" s="21" t="n">
        <v>0.189321</v>
      </c>
      <c r="J450" s="21" t="n">
        <v>15.792454</v>
      </c>
      <c r="K450" s="21" t="n">
        <v>1.739361</v>
      </c>
    </row>
    <row r="451">
      <c r="A451" s="9" t="inlineStr"/>
      <c r="B451" s="11" t="n">
        <v>10</v>
      </c>
      <c r="C451" s="11" t="n">
        <v>20</v>
      </c>
      <c r="D451" s="11" t="n">
        <v>1</v>
      </c>
      <c r="E451" s="20" t="n">
        <v>0.3</v>
      </c>
      <c r="F451" s="21" t="n">
        <v>0.745641</v>
      </c>
      <c r="G451" s="21" t="n">
        <v>6.686366</v>
      </c>
      <c r="H451" s="21" t="n">
        <v>13.215671</v>
      </c>
      <c r="I451" s="21" t="n">
        <v>0.189321</v>
      </c>
      <c r="J451" s="21" t="n">
        <v>15.792454</v>
      </c>
      <c r="K451" s="21" t="n">
        <v>1.739361</v>
      </c>
    </row>
    <row r="452">
      <c r="A452" s="9" t="inlineStr"/>
      <c r="B452" s="11" t="n">
        <v>10</v>
      </c>
      <c r="C452" s="11" t="n">
        <v>30</v>
      </c>
      <c r="D452" s="11" t="n">
        <v>1</v>
      </c>
      <c r="E452" s="20" t="n">
        <v>0.3</v>
      </c>
      <c r="F452" s="21" t="n">
        <v>0.745641</v>
      </c>
      <c r="G452" s="21" t="n">
        <v>6.686366</v>
      </c>
      <c r="H452" s="21" t="n">
        <v>13.215671</v>
      </c>
      <c r="I452" s="21" t="n">
        <v>0.189321</v>
      </c>
      <c r="J452" s="21" t="n">
        <v>15.792454</v>
      </c>
      <c r="K452" s="21" t="n">
        <v>1.739361</v>
      </c>
    </row>
    <row r="453">
      <c r="A453" s="9" t="inlineStr"/>
      <c r="B453" s="11" t="n">
        <v>10</v>
      </c>
      <c r="C453" s="11" t="n">
        <v>40</v>
      </c>
      <c r="D453" s="11" t="n">
        <v>1</v>
      </c>
      <c r="E453" s="20" t="n">
        <v>0.3</v>
      </c>
      <c r="F453" s="21" t="n">
        <v>0.745641</v>
      </c>
      <c r="G453" s="21" t="n">
        <v>6.686366</v>
      </c>
      <c r="H453" s="21" t="n">
        <v>13.215671</v>
      </c>
      <c r="I453" s="21" t="n">
        <v>0.189321</v>
      </c>
      <c r="J453" s="21" t="n">
        <v>15.792454</v>
      </c>
      <c r="K453" s="21" t="n">
        <v>1.739361</v>
      </c>
    </row>
    <row r="454">
      <c r="A454" s="9" t="inlineStr"/>
      <c r="B454" s="11" t="n">
        <v>10</v>
      </c>
      <c r="C454" s="11" t="n">
        <v>50</v>
      </c>
      <c r="D454" s="11" t="n">
        <v>1</v>
      </c>
      <c r="E454" s="20" t="n">
        <v>0.3</v>
      </c>
      <c r="F454" s="21" t="n">
        <v>0.745641</v>
      </c>
      <c r="G454" s="21" t="n">
        <v>6.686366</v>
      </c>
      <c r="H454" s="21" t="n">
        <v>13.215671</v>
      </c>
      <c r="I454" s="21" t="n">
        <v>0.189321</v>
      </c>
      <c r="J454" s="21" t="n">
        <v>15.792454</v>
      </c>
      <c r="K454" s="21" t="n">
        <v>1.739361</v>
      </c>
    </row>
    <row r="455">
      <c r="A455" s="8" t="inlineStr">
        <is>
          <t>Triclobs_Kaptein_1123</t>
        </is>
      </c>
      <c r="B455" s="13" t="n">
        <v>2</v>
      </c>
      <c r="C455" s="13" t="n">
        <v>10</v>
      </c>
      <c r="D455" s="13" t="n">
        <v>1</v>
      </c>
      <c r="E455" s="22" t="n">
        <v>0.3</v>
      </c>
      <c r="F455" s="23" t="n">
        <v>0.749953</v>
      </c>
      <c r="G455" s="23" t="n">
        <v>6.630327</v>
      </c>
      <c r="H455" s="23" t="n">
        <v>8.164253</v>
      </c>
      <c r="I455" s="23" t="n">
        <v>0.124911</v>
      </c>
      <c r="J455" s="23" t="n">
        <v>16.356292</v>
      </c>
      <c r="K455" s="23" t="n">
        <v>1.742307</v>
      </c>
    </row>
    <row r="456">
      <c r="A456" s="9" t="inlineStr"/>
      <c r="B456" s="11" t="n">
        <v>2</v>
      </c>
      <c r="C456" s="11" t="n">
        <v>20</v>
      </c>
      <c r="D456" s="11" t="n">
        <v>1</v>
      </c>
      <c r="E456" s="20" t="n">
        <v>0.3</v>
      </c>
      <c r="F456" s="21" t="n">
        <v>0.749953</v>
      </c>
      <c r="G456" s="21" t="n">
        <v>6.630327</v>
      </c>
      <c r="H456" s="21" t="n">
        <v>8.164253</v>
      </c>
      <c r="I456" s="21" t="n">
        <v>0.124911</v>
      </c>
      <c r="J456" s="21" t="n">
        <v>16.356292</v>
      </c>
      <c r="K456" s="21" t="n">
        <v>1.742307</v>
      </c>
    </row>
    <row r="457">
      <c r="A457" s="9" t="inlineStr"/>
      <c r="B457" s="11" t="n">
        <v>2</v>
      </c>
      <c r="C457" s="11" t="n">
        <v>30</v>
      </c>
      <c r="D457" s="11" t="n">
        <v>1</v>
      </c>
      <c r="E457" s="20" t="n">
        <v>0.3</v>
      </c>
      <c r="F457" s="21" t="n">
        <v>0.749953</v>
      </c>
      <c r="G457" s="21" t="n">
        <v>6.630327</v>
      </c>
      <c r="H457" s="21" t="n">
        <v>8.164253</v>
      </c>
      <c r="I457" s="21" t="n">
        <v>0.124911</v>
      </c>
      <c r="J457" s="21" t="n">
        <v>16.356292</v>
      </c>
      <c r="K457" s="21" t="n">
        <v>1.742307</v>
      </c>
    </row>
    <row r="458">
      <c r="A458" s="9" t="inlineStr"/>
      <c r="B458" s="11" t="n">
        <v>2</v>
      </c>
      <c r="C458" s="11" t="n">
        <v>40</v>
      </c>
      <c r="D458" s="11" t="n">
        <v>1</v>
      </c>
      <c r="E458" s="20" t="n">
        <v>0.3</v>
      </c>
      <c r="F458" s="21" t="n">
        <v>0.749953</v>
      </c>
      <c r="G458" s="21" t="n">
        <v>6.630327</v>
      </c>
      <c r="H458" s="21" t="n">
        <v>8.164253</v>
      </c>
      <c r="I458" s="21" t="n">
        <v>0.124911</v>
      </c>
      <c r="J458" s="21" t="n">
        <v>16.356292</v>
      </c>
      <c r="K458" s="21" t="n">
        <v>1.742307</v>
      </c>
    </row>
    <row r="459">
      <c r="A459" s="9" t="inlineStr"/>
      <c r="B459" s="11" t="n">
        <v>2</v>
      </c>
      <c r="C459" s="11" t="n">
        <v>50</v>
      </c>
      <c r="D459" s="11" t="n">
        <v>11</v>
      </c>
      <c r="E459" s="20" t="n">
        <v>0.3</v>
      </c>
      <c r="F459" s="21" t="n">
        <v>0.681651</v>
      </c>
      <c r="G459" s="21" t="n">
        <v>6.839112</v>
      </c>
      <c r="H459" s="21" t="n">
        <v>11.731088</v>
      </c>
      <c r="I459" s="21" t="n">
        <v>0.138788</v>
      </c>
      <c r="J459" s="21" t="n">
        <v>16.104504</v>
      </c>
      <c r="K459" s="21" t="n">
        <v>1.698163</v>
      </c>
    </row>
    <row r="460">
      <c r="A460" s="9" t="inlineStr"/>
      <c r="B460" s="11" t="n">
        <v>4</v>
      </c>
      <c r="C460" s="11" t="n">
        <v>10</v>
      </c>
      <c r="D460" s="11" t="n">
        <v>1</v>
      </c>
      <c r="E460" s="20" t="n">
        <v>0.3</v>
      </c>
      <c r="F460" s="21" t="n">
        <v>0.749953</v>
      </c>
      <c r="G460" s="21" t="n">
        <v>6.630327</v>
      </c>
      <c r="H460" s="21" t="n">
        <v>8.164253</v>
      </c>
      <c r="I460" s="21" t="n">
        <v>0.124911</v>
      </c>
      <c r="J460" s="21" t="n">
        <v>16.356292</v>
      </c>
      <c r="K460" s="21" t="n">
        <v>1.742307</v>
      </c>
    </row>
    <row r="461">
      <c r="A461" s="9" t="inlineStr"/>
      <c r="B461" s="11" t="n">
        <v>4</v>
      </c>
      <c r="C461" s="11" t="n">
        <v>20</v>
      </c>
      <c r="D461" s="11" t="n">
        <v>1</v>
      </c>
      <c r="E461" s="20" t="n">
        <v>0.3</v>
      </c>
      <c r="F461" s="21" t="n">
        <v>0.749953</v>
      </c>
      <c r="G461" s="21" t="n">
        <v>6.630327</v>
      </c>
      <c r="H461" s="21" t="n">
        <v>8.164253</v>
      </c>
      <c r="I461" s="21" t="n">
        <v>0.124911</v>
      </c>
      <c r="J461" s="21" t="n">
        <v>16.356292</v>
      </c>
      <c r="K461" s="21" t="n">
        <v>1.742307</v>
      </c>
    </row>
    <row r="462">
      <c r="A462" s="9" t="inlineStr"/>
      <c r="B462" s="11" t="n">
        <v>4</v>
      </c>
      <c r="C462" s="11" t="n">
        <v>30</v>
      </c>
      <c r="D462" s="11" t="n">
        <v>1</v>
      </c>
      <c r="E462" s="20" t="n">
        <v>0.3</v>
      </c>
      <c r="F462" s="21" t="n">
        <v>0.749953</v>
      </c>
      <c r="G462" s="21" t="n">
        <v>6.630327</v>
      </c>
      <c r="H462" s="21" t="n">
        <v>8.164253</v>
      </c>
      <c r="I462" s="21" t="n">
        <v>0.124911</v>
      </c>
      <c r="J462" s="21" t="n">
        <v>16.356292</v>
      </c>
      <c r="K462" s="21" t="n">
        <v>1.742307</v>
      </c>
    </row>
    <row r="463">
      <c r="A463" s="9" t="inlineStr"/>
      <c r="B463" s="11" t="n">
        <v>4</v>
      </c>
      <c r="C463" s="11" t="n">
        <v>40</v>
      </c>
      <c r="D463" s="11" t="n">
        <v>1</v>
      </c>
      <c r="E463" s="20" t="n">
        <v>0.3</v>
      </c>
      <c r="F463" s="21" t="n">
        <v>0.749953</v>
      </c>
      <c r="G463" s="21" t="n">
        <v>6.630327</v>
      </c>
      <c r="H463" s="21" t="n">
        <v>8.164253</v>
      </c>
      <c r="I463" s="21" t="n">
        <v>0.124911</v>
      </c>
      <c r="J463" s="21" t="n">
        <v>16.356292</v>
      </c>
      <c r="K463" s="21" t="n">
        <v>1.742307</v>
      </c>
    </row>
    <row r="464">
      <c r="A464" s="9" t="inlineStr"/>
      <c r="B464" s="11" t="n">
        <v>4</v>
      </c>
      <c r="C464" s="11" t="n">
        <v>50</v>
      </c>
      <c r="D464" s="11" t="n">
        <v>25</v>
      </c>
      <c r="E464" s="20" t="n">
        <v>0.3</v>
      </c>
      <c r="F464" s="21" t="n">
        <v>0.671926</v>
      </c>
      <c r="G464" s="21" t="n">
        <v>6.981086</v>
      </c>
      <c r="H464" s="21" t="n">
        <v>12.38207</v>
      </c>
      <c r="I464" s="21" t="n">
        <v>0.155083</v>
      </c>
      <c r="J464" s="21" t="n">
        <v>15.780239</v>
      </c>
      <c r="K464" s="21" t="n">
        <v>1.702364</v>
      </c>
    </row>
    <row r="465">
      <c r="A465" s="9" t="inlineStr"/>
      <c r="B465" s="11" t="n">
        <v>6</v>
      </c>
      <c r="C465" s="11" t="n">
        <v>10</v>
      </c>
      <c r="D465" s="11" t="n">
        <v>1</v>
      </c>
      <c r="E465" s="20" t="n">
        <v>0.3</v>
      </c>
      <c r="F465" s="21" t="n">
        <v>0.749953</v>
      </c>
      <c r="G465" s="21" t="n">
        <v>6.630327</v>
      </c>
      <c r="H465" s="21" t="n">
        <v>8.164253</v>
      </c>
      <c r="I465" s="21" t="n">
        <v>0.124911</v>
      </c>
      <c r="J465" s="21" t="n">
        <v>16.356292</v>
      </c>
      <c r="K465" s="21" t="n">
        <v>1.742307</v>
      </c>
    </row>
    <row r="466">
      <c r="A466" s="9" t="inlineStr"/>
      <c r="B466" s="11" t="n">
        <v>6</v>
      </c>
      <c r="C466" s="11" t="n">
        <v>20</v>
      </c>
      <c r="D466" s="11" t="n">
        <v>25</v>
      </c>
      <c r="E466" s="20" t="n">
        <v>0.3</v>
      </c>
      <c r="F466" s="21" t="n">
        <v>0.671926</v>
      </c>
      <c r="G466" s="21" t="n">
        <v>6.981086</v>
      </c>
      <c r="H466" s="21" t="n">
        <v>12.38207</v>
      </c>
      <c r="I466" s="21" t="n">
        <v>0.155083</v>
      </c>
      <c r="J466" s="21" t="n">
        <v>15.780239</v>
      </c>
      <c r="K466" s="21" t="n">
        <v>1.702364</v>
      </c>
    </row>
    <row r="467">
      <c r="A467" s="9" t="inlineStr"/>
      <c r="B467" s="11" t="n">
        <v>6</v>
      </c>
      <c r="C467" s="11" t="n">
        <v>30</v>
      </c>
      <c r="D467" s="11" t="n">
        <v>25</v>
      </c>
      <c r="E467" s="20" t="n">
        <v>0.3</v>
      </c>
      <c r="F467" s="21" t="n">
        <v>0.671926</v>
      </c>
      <c r="G467" s="21" t="n">
        <v>6.981086</v>
      </c>
      <c r="H467" s="21" t="n">
        <v>12.38207</v>
      </c>
      <c r="I467" s="21" t="n">
        <v>0.155083</v>
      </c>
      <c r="J467" s="21" t="n">
        <v>15.780239</v>
      </c>
      <c r="K467" s="21" t="n">
        <v>1.702364</v>
      </c>
    </row>
    <row r="468">
      <c r="A468" s="9" t="inlineStr"/>
      <c r="B468" s="11" t="n">
        <v>6</v>
      </c>
      <c r="C468" s="11" t="n">
        <v>40</v>
      </c>
      <c r="D468" s="11" t="n">
        <v>1</v>
      </c>
      <c r="E468" s="20" t="n">
        <v>0.3</v>
      </c>
      <c r="F468" s="21" t="n">
        <v>0.749953</v>
      </c>
      <c r="G468" s="21" t="n">
        <v>6.630327</v>
      </c>
      <c r="H468" s="21" t="n">
        <v>8.164253</v>
      </c>
      <c r="I468" s="21" t="n">
        <v>0.124911</v>
      </c>
      <c r="J468" s="21" t="n">
        <v>16.356292</v>
      </c>
      <c r="K468" s="21" t="n">
        <v>1.742307</v>
      </c>
    </row>
    <row r="469">
      <c r="A469" s="9" t="inlineStr"/>
      <c r="B469" s="11" t="n">
        <v>6</v>
      </c>
      <c r="C469" s="11" t="n">
        <v>50</v>
      </c>
      <c r="D469" s="11" t="n">
        <v>1</v>
      </c>
      <c r="E469" s="20" t="n">
        <v>0.3</v>
      </c>
      <c r="F469" s="21" t="n">
        <v>0.749953</v>
      </c>
      <c r="G469" s="21" t="n">
        <v>6.630327</v>
      </c>
      <c r="H469" s="21" t="n">
        <v>8.164253</v>
      </c>
      <c r="I469" s="21" t="n">
        <v>0.124911</v>
      </c>
      <c r="J469" s="21" t="n">
        <v>16.356292</v>
      </c>
      <c r="K469" s="21" t="n">
        <v>1.742307</v>
      </c>
    </row>
    <row r="470">
      <c r="A470" s="9" t="inlineStr"/>
      <c r="B470" s="11" t="n">
        <v>8</v>
      </c>
      <c r="C470" s="11" t="n">
        <v>10</v>
      </c>
      <c r="D470" s="11" t="n">
        <v>1</v>
      </c>
      <c r="E470" s="20" t="n">
        <v>0.3</v>
      </c>
      <c r="F470" s="21" t="n">
        <v>0.749953</v>
      </c>
      <c r="G470" s="21" t="n">
        <v>6.630327</v>
      </c>
      <c r="H470" s="21" t="n">
        <v>8.164253</v>
      </c>
      <c r="I470" s="21" t="n">
        <v>0.124911</v>
      </c>
      <c r="J470" s="21" t="n">
        <v>16.356292</v>
      </c>
      <c r="K470" s="21" t="n">
        <v>1.742307</v>
      </c>
    </row>
    <row r="471">
      <c r="A471" s="9" t="inlineStr"/>
      <c r="B471" s="11" t="n">
        <v>8</v>
      </c>
      <c r="C471" s="11" t="n">
        <v>20</v>
      </c>
      <c r="D471" s="11" t="n">
        <v>1</v>
      </c>
      <c r="E471" s="20" t="n">
        <v>0.3</v>
      </c>
      <c r="F471" s="21" t="n">
        <v>0.749953</v>
      </c>
      <c r="G471" s="21" t="n">
        <v>6.630327</v>
      </c>
      <c r="H471" s="21" t="n">
        <v>8.164253</v>
      </c>
      <c r="I471" s="21" t="n">
        <v>0.124911</v>
      </c>
      <c r="J471" s="21" t="n">
        <v>16.356292</v>
      </c>
      <c r="K471" s="21" t="n">
        <v>1.742307</v>
      </c>
    </row>
    <row r="472">
      <c r="A472" s="9" t="inlineStr"/>
      <c r="B472" s="11" t="n">
        <v>8</v>
      </c>
      <c r="C472" s="11" t="n">
        <v>30</v>
      </c>
      <c r="D472" s="11" t="n">
        <v>1</v>
      </c>
      <c r="E472" s="20" t="n">
        <v>0.3</v>
      </c>
      <c r="F472" s="21" t="n">
        <v>0.749953</v>
      </c>
      <c r="G472" s="21" t="n">
        <v>6.630327</v>
      </c>
      <c r="H472" s="21" t="n">
        <v>8.164253</v>
      </c>
      <c r="I472" s="21" t="n">
        <v>0.124911</v>
      </c>
      <c r="J472" s="21" t="n">
        <v>16.356292</v>
      </c>
      <c r="K472" s="21" t="n">
        <v>1.742307</v>
      </c>
    </row>
    <row r="473">
      <c r="A473" s="9" t="inlineStr"/>
      <c r="B473" s="11" t="n">
        <v>8</v>
      </c>
      <c r="C473" s="11" t="n">
        <v>40</v>
      </c>
      <c r="D473" s="11" t="n">
        <v>1</v>
      </c>
      <c r="E473" s="20" t="n">
        <v>0.3</v>
      </c>
      <c r="F473" s="21" t="n">
        <v>0.749953</v>
      </c>
      <c r="G473" s="21" t="n">
        <v>6.630327</v>
      </c>
      <c r="H473" s="21" t="n">
        <v>8.164253</v>
      </c>
      <c r="I473" s="21" t="n">
        <v>0.124911</v>
      </c>
      <c r="J473" s="21" t="n">
        <v>16.356292</v>
      </c>
      <c r="K473" s="21" t="n">
        <v>1.742307</v>
      </c>
    </row>
    <row r="474">
      <c r="A474" s="9" t="inlineStr"/>
      <c r="B474" s="11" t="n">
        <v>8</v>
      </c>
      <c r="C474" s="11" t="n">
        <v>50</v>
      </c>
      <c r="D474" s="11" t="n">
        <v>1</v>
      </c>
      <c r="E474" s="20" t="n">
        <v>0.3</v>
      </c>
      <c r="F474" s="21" t="n">
        <v>0.749953</v>
      </c>
      <c r="G474" s="21" t="n">
        <v>6.630327</v>
      </c>
      <c r="H474" s="21" t="n">
        <v>8.164253</v>
      </c>
      <c r="I474" s="21" t="n">
        <v>0.124911</v>
      </c>
      <c r="J474" s="21" t="n">
        <v>16.356292</v>
      </c>
      <c r="K474" s="21" t="n">
        <v>1.742307</v>
      </c>
    </row>
    <row r="475">
      <c r="A475" s="9" t="inlineStr"/>
      <c r="B475" s="11" t="n">
        <v>10</v>
      </c>
      <c r="C475" s="11" t="n">
        <v>10</v>
      </c>
      <c r="D475" s="11" t="n">
        <v>25</v>
      </c>
      <c r="E475" s="20" t="n">
        <v>0.3</v>
      </c>
      <c r="F475" s="21" t="n">
        <v>0.671926</v>
      </c>
      <c r="G475" s="21" t="n">
        <v>6.981086</v>
      </c>
      <c r="H475" s="21" t="n">
        <v>12.38207</v>
      </c>
      <c r="I475" s="21" t="n">
        <v>0.155083</v>
      </c>
      <c r="J475" s="21" t="n">
        <v>15.780239</v>
      </c>
      <c r="K475" s="21" t="n">
        <v>1.702364</v>
      </c>
    </row>
    <row r="476">
      <c r="A476" s="9" t="inlineStr"/>
      <c r="B476" s="11" t="n">
        <v>10</v>
      </c>
      <c r="C476" s="11" t="n">
        <v>20</v>
      </c>
      <c r="D476" s="11" t="n">
        <v>1</v>
      </c>
      <c r="E476" s="20" t="n">
        <v>0.3</v>
      </c>
      <c r="F476" s="21" t="n">
        <v>0.749953</v>
      </c>
      <c r="G476" s="21" t="n">
        <v>6.630327</v>
      </c>
      <c r="H476" s="21" t="n">
        <v>8.164253</v>
      </c>
      <c r="I476" s="21" t="n">
        <v>0.124911</v>
      </c>
      <c r="J476" s="21" t="n">
        <v>16.356292</v>
      </c>
      <c r="K476" s="21" t="n">
        <v>1.742307</v>
      </c>
    </row>
    <row r="477">
      <c r="A477" s="9" t="inlineStr"/>
      <c r="B477" s="11" t="n">
        <v>10</v>
      </c>
      <c r="C477" s="11" t="n">
        <v>30</v>
      </c>
      <c r="D477" s="11" t="n">
        <v>1</v>
      </c>
      <c r="E477" s="20" t="n">
        <v>0.3</v>
      </c>
      <c r="F477" s="21" t="n">
        <v>0.749953</v>
      </c>
      <c r="G477" s="21" t="n">
        <v>6.630327</v>
      </c>
      <c r="H477" s="21" t="n">
        <v>8.164253</v>
      </c>
      <c r="I477" s="21" t="n">
        <v>0.124911</v>
      </c>
      <c r="J477" s="21" t="n">
        <v>16.356292</v>
      </c>
      <c r="K477" s="21" t="n">
        <v>1.742307</v>
      </c>
    </row>
    <row r="478">
      <c r="A478" s="9" t="inlineStr"/>
      <c r="B478" s="11" t="n">
        <v>10</v>
      </c>
      <c r="C478" s="11" t="n">
        <v>40</v>
      </c>
      <c r="D478" s="11" t="n">
        <v>1</v>
      </c>
      <c r="E478" s="20" t="n">
        <v>0.3</v>
      </c>
      <c r="F478" s="21" t="n">
        <v>0.749953</v>
      </c>
      <c r="G478" s="21" t="n">
        <v>6.630327</v>
      </c>
      <c r="H478" s="21" t="n">
        <v>8.164253</v>
      </c>
      <c r="I478" s="21" t="n">
        <v>0.124911</v>
      </c>
      <c r="J478" s="21" t="n">
        <v>16.356292</v>
      </c>
      <c r="K478" s="21" t="n">
        <v>1.742307</v>
      </c>
    </row>
    <row r="479">
      <c r="A479" s="9" t="inlineStr"/>
      <c r="B479" s="11" t="n">
        <v>10</v>
      </c>
      <c r="C479" s="11" t="n">
        <v>50</v>
      </c>
      <c r="D479" s="11" t="n">
        <v>1</v>
      </c>
      <c r="E479" s="20" t="n">
        <v>0.3</v>
      </c>
      <c r="F479" s="21" t="n">
        <v>0.749953</v>
      </c>
      <c r="G479" s="21" t="n">
        <v>6.630327</v>
      </c>
      <c r="H479" s="21" t="n">
        <v>8.164253</v>
      </c>
      <c r="I479" s="21" t="n">
        <v>0.124911</v>
      </c>
      <c r="J479" s="21" t="n">
        <v>16.356292</v>
      </c>
      <c r="K479" s="21" t="n">
        <v>1.742307</v>
      </c>
    </row>
    <row r="480">
      <c r="A480" s="8" t="inlineStr">
        <is>
          <t>Triclobs_jeep_in_smoke_R</t>
        </is>
      </c>
      <c r="B480" s="13" t="n">
        <v>2</v>
      </c>
      <c r="C480" s="13" t="n">
        <v>10</v>
      </c>
      <c r="D480" s="13" t="n">
        <v>1</v>
      </c>
      <c r="E480" s="22" t="n">
        <v>0.3</v>
      </c>
      <c r="F480" s="23" t="n">
        <v>0.64114</v>
      </c>
      <c r="G480" s="23" t="n">
        <v>7.011651</v>
      </c>
      <c r="H480" s="23" t="n">
        <v>24.631136</v>
      </c>
      <c r="I480" s="23" t="n">
        <v>0.128024</v>
      </c>
      <c r="J480" s="23" t="n">
        <v>16.746646</v>
      </c>
      <c r="K480" s="23" t="n">
        <v>1.685063</v>
      </c>
    </row>
    <row r="481">
      <c r="A481" s="9" t="inlineStr"/>
      <c r="B481" s="11" t="n">
        <v>2</v>
      </c>
      <c r="C481" s="11" t="n">
        <v>20</v>
      </c>
      <c r="D481" s="11" t="n">
        <v>25</v>
      </c>
      <c r="E481" s="20" t="n">
        <v>0.3</v>
      </c>
      <c r="F481" s="21" t="n">
        <v>0.568179</v>
      </c>
      <c r="G481" s="21" t="n">
        <v>7.392587</v>
      </c>
      <c r="H481" s="21" t="n">
        <v>32.494104</v>
      </c>
      <c r="I481" s="21" t="n">
        <v>0.177065</v>
      </c>
      <c r="J481" s="21" t="n">
        <v>15.603958</v>
      </c>
      <c r="K481" s="21" t="n">
        <v>1.648292</v>
      </c>
    </row>
    <row r="482">
      <c r="A482" s="9" t="inlineStr"/>
      <c r="B482" s="11" t="n">
        <v>2</v>
      </c>
      <c r="C482" s="11" t="n">
        <v>30</v>
      </c>
      <c r="D482" s="11" t="n">
        <v>25</v>
      </c>
      <c r="E482" s="20" t="n">
        <v>0.3</v>
      </c>
      <c r="F482" s="21" t="n">
        <v>0.568179</v>
      </c>
      <c r="G482" s="21" t="n">
        <v>7.392587</v>
      </c>
      <c r="H482" s="21" t="n">
        <v>32.494104</v>
      </c>
      <c r="I482" s="21" t="n">
        <v>0.177065</v>
      </c>
      <c r="J482" s="21" t="n">
        <v>15.603958</v>
      </c>
      <c r="K482" s="21" t="n">
        <v>1.648292</v>
      </c>
    </row>
    <row r="483">
      <c r="A483" s="9" t="inlineStr"/>
      <c r="B483" s="11" t="n">
        <v>2</v>
      </c>
      <c r="C483" s="11" t="n">
        <v>40</v>
      </c>
      <c r="D483" s="11" t="n">
        <v>7</v>
      </c>
      <c r="E483" s="20" t="n">
        <v>0.3</v>
      </c>
      <c r="F483" s="21" t="n">
        <v>0.578132</v>
      </c>
      <c r="G483" s="21" t="n">
        <v>7.167069</v>
      </c>
      <c r="H483" s="21" t="n">
        <v>30.363554</v>
      </c>
      <c r="I483" s="21" t="n">
        <v>0.143722</v>
      </c>
      <c r="J483" s="21" t="n">
        <v>16.412724</v>
      </c>
      <c r="K483" s="21" t="n">
        <v>1.638973</v>
      </c>
    </row>
    <row r="484">
      <c r="A484" s="9" t="inlineStr"/>
      <c r="B484" s="11" t="n">
        <v>2</v>
      </c>
      <c r="C484" s="11" t="n">
        <v>50</v>
      </c>
      <c r="D484" s="11" t="n">
        <v>1</v>
      </c>
      <c r="E484" s="20" t="n">
        <v>0.3</v>
      </c>
      <c r="F484" s="21" t="n">
        <v>0.64114</v>
      </c>
      <c r="G484" s="21" t="n">
        <v>7.011651</v>
      </c>
      <c r="H484" s="21" t="n">
        <v>24.631136</v>
      </c>
      <c r="I484" s="21" t="n">
        <v>0.128024</v>
      </c>
      <c r="J484" s="21" t="n">
        <v>16.746646</v>
      </c>
      <c r="K484" s="21" t="n">
        <v>1.685063</v>
      </c>
    </row>
    <row r="485">
      <c r="A485" s="9" t="inlineStr"/>
      <c r="B485" s="11" t="n">
        <v>4</v>
      </c>
      <c r="C485" s="11" t="n">
        <v>10</v>
      </c>
      <c r="D485" s="11" t="n">
        <v>25</v>
      </c>
      <c r="E485" s="20" t="n">
        <v>0.3</v>
      </c>
      <c r="F485" s="21" t="n">
        <v>0.568179</v>
      </c>
      <c r="G485" s="21" t="n">
        <v>7.392587</v>
      </c>
      <c r="H485" s="21" t="n">
        <v>32.494104</v>
      </c>
      <c r="I485" s="21" t="n">
        <v>0.177065</v>
      </c>
      <c r="J485" s="21" t="n">
        <v>15.603958</v>
      </c>
      <c r="K485" s="21" t="n">
        <v>1.648292</v>
      </c>
    </row>
    <row r="486">
      <c r="A486" s="9" t="inlineStr"/>
      <c r="B486" s="11" t="n">
        <v>4</v>
      </c>
      <c r="C486" s="11" t="n">
        <v>20</v>
      </c>
      <c r="D486" s="11" t="n">
        <v>1</v>
      </c>
      <c r="E486" s="20" t="n">
        <v>0.3</v>
      </c>
      <c r="F486" s="21" t="n">
        <v>0.64114</v>
      </c>
      <c r="G486" s="21" t="n">
        <v>7.011651</v>
      </c>
      <c r="H486" s="21" t="n">
        <v>24.631136</v>
      </c>
      <c r="I486" s="21" t="n">
        <v>0.128024</v>
      </c>
      <c r="J486" s="21" t="n">
        <v>16.746646</v>
      </c>
      <c r="K486" s="21" t="n">
        <v>1.685063</v>
      </c>
    </row>
    <row r="487">
      <c r="A487" s="9" t="inlineStr"/>
      <c r="B487" s="11" t="n">
        <v>4</v>
      </c>
      <c r="C487" s="11" t="n">
        <v>30</v>
      </c>
      <c r="D487" s="11" t="n">
        <v>25</v>
      </c>
      <c r="E487" s="20" t="n">
        <v>0.3</v>
      </c>
      <c r="F487" s="21" t="n">
        <v>0.568179</v>
      </c>
      <c r="G487" s="21" t="n">
        <v>7.392587</v>
      </c>
      <c r="H487" s="21" t="n">
        <v>32.494104</v>
      </c>
      <c r="I487" s="21" t="n">
        <v>0.177065</v>
      </c>
      <c r="J487" s="21" t="n">
        <v>15.603958</v>
      </c>
      <c r="K487" s="21" t="n">
        <v>1.648292</v>
      </c>
    </row>
    <row r="488">
      <c r="A488" s="9" t="inlineStr"/>
      <c r="B488" s="11" t="n">
        <v>4</v>
      </c>
      <c r="C488" s="11" t="n">
        <v>40</v>
      </c>
      <c r="D488" s="11" t="n">
        <v>25</v>
      </c>
      <c r="E488" s="20" t="n">
        <v>0.3</v>
      </c>
      <c r="F488" s="21" t="n">
        <v>0.568179</v>
      </c>
      <c r="G488" s="21" t="n">
        <v>7.392587</v>
      </c>
      <c r="H488" s="21" t="n">
        <v>32.494104</v>
      </c>
      <c r="I488" s="21" t="n">
        <v>0.177065</v>
      </c>
      <c r="J488" s="21" t="n">
        <v>15.603958</v>
      </c>
      <c r="K488" s="21" t="n">
        <v>1.648292</v>
      </c>
    </row>
    <row r="489">
      <c r="A489" s="9" t="inlineStr"/>
      <c r="B489" s="11" t="n">
        <v>4</v>
      </c>
      <c r="C489" s="11" t="n">
        <v>50</v>
      </c>
      <c r="D489" s="11" t="n">
        <v>25</v>
      </c>
      <c r="E489" s="20" t="n">
        <v>0.3</v>
      </c>
      <c r="F489" s="21" t="n">
        <v>0.568179</v>
      </c>
      <c r="G489" s="21" t="n">
        <v>7.392587</v>
      </c>
      <c r="H489" s="21" t="n">
        <v>32.494104</v>
      </c>
      <c r="I489" s="21" t="n">
        <v>0.177065</v>
      </c>
      <c r="J489" s="21" t="n">
        <v>15.603958</v>
      </c>
      <c r="K489" s="21" t="n">
        <v>1.648292</v>
      </c>
    </row>
    <row r="490">
      <c r="A490" s="9" t="inlineStr"/>
      <c r="B490" s="11" t="n">
        <v>6</v>
      </c>
      <c r="C490" s="11" t="n">
        <v>10</v>
      </c>
      <c r="D490" s="11" t="n">
        <v>1</v>
      </c>
      <c r="E490" s="20" t="n">
        <v>0.3</v>
      </c>
      <c r="F490" s="21" t="n">
        <v>0.64114</v>
      </c>
      <c r="G490" s="21" t="n">
        <v>7.011651</v>
      </c>
      <c r="H490" s="21" t="n">
        <v>24.631136</v>
      </c>
      <c r="I490" s="21" t="n">
        <v>0.128024</v>
      </c>
      <c r="J490" s="21" t="n">
        <v>16.746646</v>
      </c>
      <c r="K490" s="21" t="n">
        <v>1.685063</v>
      </c>
    </row>
    <row r="491">
      <c r="A491" s="9" t="inlineStr"/>
      <c r="B491" s="11" t="n">
        <v>6</v>
      </c>
      <c r="C491" s="11" t="n">
        <v>20</v>
      </c>
      <c r="D491" s="11" t="n">
        <v>1</v>
      </c>
      <c r="E491" s="20" t="n">
        <v>0.3</v>
      </c>
      <c r="F491" s="21" t="n">
        <v>0.64114</v>
      </c>
      <c r="G491" s="21" t="n">
        <v>7.011651</v>
      </c>
      <c r="H491" s="21" t="n">
        <v>24.631136</v>
      </c>
      <c r="I491" s="21" t="n">
        <v>0.128024</v>
      </c>
      <c r="J491" s="21" t="n">
        <v>16.746646</v>
      </c>
      <c r="K491" s="21" t="n">
        <v>1.685063</v>
      </c>
    </row>
    <row r="492">
      <c r="A492" s="9" t="inlineStr"/>
      <c r="B492" s="11" t="n">
        <v>6</v>
      </c>
      <c r="C492" s="11" t="n">
        <v>30</v>
      </c>
      <c r="D492" s="11" t="n">
        <v>1</v>
      </c>
      <c r="E492" s="20" t="n">
        <v>0.3</v>
      </c>
      <c r="F492" s="21" t="n">
        <v>0.64114</v>
      </c>
      <c r="G492" s="21" t="n">
        <v>7.011651</v>
      </c>
      <c r="H492" s="21" t="n">
        <v>24.631136</v>
      </c>
      <c r="I492" s="21" t="n">
        <v>0.128024</v>
      </c>
      <c r="J492" s="21" t="n">
        <v>16.746646</v>
      </c>
      <c r="K492" s="21" t="n">
        <v>1.685063</v>
      </c>
    </row>
    <row r="493">
      <c r="A493" s="9" t="inlineStr"/>
      <c r="B493" s="11" t="n">
        <v>6</v>
      </c>
      <c r="C493" s="11" t="n">
        <v>40</v>
      </c>
      <c r="D493" s="11" t="n">
        <v>25</v>
      </c>
      <c r="E493" s="20" t="n">
        <v>0.3</v>
      </c>
      <c r="F493" s="21" t="n">
        <v>0.568179</v>
      </c>
      <c r="G493" s="21" t="n">
        <v>7.392587</v>
      </c>
      <c r="H493" s="21" t="n">
        <v>32.494104</v>
      </c>
      <c r="I493" s="21" t="n">
        <v>0.177065</v>
      </c>
      <c r="J493" s="21" t="n">
        <v>15.603958</v>
      </c>
      <c r="K493" s="21" t="n">
        <v>1.648292</v>
      </c>
    </row>
    <row r="494">
      <c r="A494" s="9" t="inlineStr"/>
      <c r="B494" s="11" t="n">
        <v>6</v>
      </c>
      <c r="C494" s="11" t="n">
        <v>50</v>
      </c>
      <c r="D494" s="11" t="n">
        <v>1</v>
      </c>
      <c r="E494" s="20" t="n">
        <v>0.3</v>
      </c>
      <c r="F494" s="21" t="n">
        <v>0.64114</v>
      </c>
      <c r="G494" s="21" t="n">
        <v>7.011651</v>
      </c>
      <c r="H494" s="21" t="n">
        <v>24.631136</v>
      </c>
      <c r="I494" s="21" t="n">
        <v>0.128024</v>
      </c>
      <c r="J494" s="21" t="n">
        <v>16.746646</v>
      </c>
      <c r="K494" s="21" t="n">
        <v>1.685063</v>
      </c>
    </row>
    <row r="495">
      <c r="A495" s="9" t="inlineStr"/>
      <c r="B495" s="11" t="n">
        <v>8</v>
      </c>
      <c r="C495" s="11" t="n">
        <v>10</v>
      </c>
      <c r="D495" s="11" t="n">
        <v>1</v>
      </c>
      <c r="E495" s="20" t="n">
        <v>0.3</v>
      </c>
      <c r="F495" s="21" t="n">
        <v>0.64114</v>
      </c>
      <c r="G495" s="21" t="n">
        <v>7.011651</v>
      </c>
      <c r="H495" s="21" t="n">
        <v>24.631136</v>
      </c>
      <c r="I495" s="21" t="n">
        <v>0.128024</v>
      </c>
      <c r="J495" s="21" t="n">
        <v>16.746646</v>
      </c>
      <c r="K495" s="21" t="n">
        <v>1.685063</v>
      </c>
    </row>
    <row r="496">
      <c r="A496" s="9" t="inlineStr"/>
      <c r="B496" s="11" t="n">
        <v>8</v>
      </c>
      <c r="C496" s="11" t="n">
        <v>20</v>
      </c>
      <c r="D496" s="11" t="n">
        <v>25</v>
      </c>
      <c r="E496" s="20" t="n">
        <v>0.3</v>
      </c>
      <c r="F496" s="21" t="n">
        <v>0.568179</v>
      </c>
      <c r="G496" s="21" t="n">
        <v>7.392587</v>
      </c>
      <c r="H496" s="21" t="n">
        <v>32.494104</v>
      </c>
      <c r="I496" s="21" t="n">
        <v>0.177065</v>
      </c>
      <c r="J496" s="21" t="n">
        <v>15.603958</v>
      </c>
      <c r="K496" s="21" t="n">
        <v>1.648292</v>
      </c>
    </row>
    <row r="497">
      <c r="A497" s="9" t="inlineStr"/>
      <c r="B497" s="11" t="n">
        <v>8</v>
      </c>
      <c r="C497" s="11" t="n">
        <v>30</v>
      </c>
      <c r="D497" s="11" t="n">
        <v>1</v>
      </c>
      <c r="E497" s="20" t="n">
        <v>0.3</v>
      </c>
      <c r="F497" s="21" t="n">
        <v>0.64114</v>
      </c>
      <c r="G497" s="21" t="n">
        <v>7.011651</v>
      </c>
      <c r="H497" s="21" t="n">
        <v>24.631136</v>
      </c>
      <c r="I497" s="21" t="n">
        <v>0.128024</v>
      </c>
      <c r="J497" s="21" t="n">
        <v>16.746646</v>
      </c>
      <c r="K497" s="21" t="n">
        <v>1.685063</v>
      </c>
    </row>
    <row r="498">
      <c r="A498" s="9" t="inlineStr"/>
      <c r="B498" s="11" t="n">
        <v>8</v>
      </c>
      <c r="C498" s="11" t="n">
        <v>40</v>
      </c>
      <c r="D498" s="11" t="n">
        <v>1</v>
      </c>
      <c r="E498" s="20" t="n">
        <v>0.3</v>
      </c>
      <c r="F498" s="21" t="n">
        <v>0.64114</v>
      </c>
      <c r="G498" s="21" t="n">
        <v>7.011651</v>
      </c>
      <c r="H498" s="21" t="n">
        <v>24.631136</v>
      </c>
      <c r="I498" s="21" t="n">
        <v>0.128024</v>
      </c>
      <c r="J498" s="21" t="n">
        <v>16.746646</v>
      </c>
      <c r="K498" s="21" t="n">
        <v>1.685063</v>
      </c>
    </row>
    <row r="499">
      <c r="A499" s="9" t="inlineStr"/>
      <c r="B499" s="11" t="n">
        <v>8</v>
      </c>
      <c r="C499" s="11" t="n">
        <v>50</v>
      </c>
      <c r="D499" s="11" t="n">
        <v>25</v>
      </c>
      <c r="E499" s="20" t="n">
        <v>0.3</v>
      </c>
      <c r="F499" s="21" t="n">
        <v>0.568179</v>
      </c>
      <c r="G499" s="21" t="n">
        <v>7.392587</v>
      </c>
      <c r="H499" s="21" t="n">
        <v>32.494104</v>
      </c>
      <c r="I499" s="21" t="n">
        <v>0.177065</v>
      </c>
      <c r="J499" s="21" t="n">
        <v>15.603958</v>
      </c>
      <c r="K499" s="21" t="n">
        <v>1.648292</v>
      </c>
    </row>
    <row r="500">
      <c r="A500" s="9" t="inlineStr"/>
      <c r="B500" s="11" t="n">
        <v>10</v>
      </c>
      <c r="C500" s="11" t="n">
        <v>10</v>
      </c>
      <c r="D500" s="11" t="n">
        <v>1</v>
      </c>
      <c r="E500" s="20" t="n">
        <v>0.3</v>
      </c>
      <c r="F500" s="21" t="n">
        <v>0.64114</v>
      </c>
      <c r="G500" s="21" t="n">
        <v>7.011651</v>
      </c>
      <c r="H500" s="21" t="n">
        <v>24.631136</v>
      </c>
      <c r="I500" s="21" t="n">
        <v>0.128024</v>
      </c>
      <c r="J500" s="21" t="n">
        <v>16.746646</v>
      </c>
      <c r="K500" s="21" t="n">
        <v>1.685063</v>
      </c>
    </row>
    <row r="501">
      <c r="A501" s="9" t="inlineStr"/>
      <c r="B501" s="11" t="n">
        <v>10</v>
      </c>
      <c r="C501" s="11" t="n">
        <v>20</v>
      </c>
      <c r="D501" s="11" t="n">
        <v>1</v>
      </c>
      <c r="E501" s="20" t="n">
        <v>0.3</v>
      </c>
      <c r="F501" s="21" t="n">
        <v>0.64114</v>
      </c>
      <c r="G501" s="21" t="n">
        <v>7.011651</v>
      </c>
      <c r="H501" s="21" t="n">
        <v>24.631136</v>
      </c>
      <c r="I501" s="21" t="n">
        <v>0.128024</v>
      </c>
      <c r="J501" s="21" t="n">
        <v>16.746646</v>
      </c>
      <c r="K501" s="21" t="n">
        <v>1.685063</v>
      </c>
    </row>
    <row r="502">
      <c r="A502" s="9" t="inlineStr"/>
      <c r="B502" s="11" t="n">
        <v>10</v>
      </c>
      <c r="C502" s="11" t="n">
        <v>30</v>
      </c>
      <c r="D502" s="11" t="n">
        <v>1</v>
      </c>
      <c r="E502" s="20" t="n">
        <v>0.3</v>
      </c>
      <c r="F502" s="21" t="n">
        <v>0.64114</v>
      </c>
      <c r="G502" s="21" t="n">
        <v>7.011651</v>
      </c>
      <c r="H502" s="21" t="n">
        <v>24.631136</v>
      </c>
      <c r="I502" s="21" t="n">
        <v>0.128024</v>
      </c>
      <c r="J502" s="21" t="n">
        <v>16.746646</v>
      </c>
      <c r="K502" s="21" t="n">
        <v>1.685063</v>
      </c>
    </row>
    <row r="503">
      <c r="A503" s="9" t="inlineStr"/>
      <c r="B503" s="11" t="n">
        <v>10</v>
      </c>
      <c r="C503" s="11" t="n">
        <v>40</v>
      </c>
      <c r="D503" s="11" t="n">
        <v>25</v>
      </c>
      <c r="E503" s="20" t="n">
        <v>0.3</v>
      </c>
      <c r="F503" s="21" t="n">
        <v>0.568179</v>
      </c>
      <c r="G503" s="21" t="n">
        <v>7.392587</v>
      </c>
      <c r="H503" s="21" t="n">
        <v>32.494104</v>
      </c>
      <c r="I503" s="21" t="n">
        <v>0.177065</v>
      </c>
      <c r="J503" s="21" t="n">
        <v>15.603958</v>
      </c>
      <c r="K503" s="21" t="n">
        <v>1.648292</v>
      </c>
    </row>
    <row r="504">
      <c r="A504" s="9" t="inlineStr"/>
      <c r="B504" s="11" t="n">
        <v>10</v>
      </c>
      <c r="C504" s="11" t="n">
        <v>50</v>
      </c>
      <c r="D504" s="11" t="n">
        <v>25</v>
      </c>
      <c r="E504" s="20" t="n">
        <v>0.3</v>
      </c>
      <c r="F504" s="21" t="n">
        <v>0.568179</v>
      </c>
      <c r="G504" s="21" t="n">
        <v>7.392587</v>
      </c>
      <c r="H504" s="21" t="n">
        <v>32.494104</v>
      </c>
      <c r="I504" s="21" t="n">
        <v>0.177065</v>
      </c>
      <c r="J504" s="21" t="n">
        <v>15.603958</v>
      </c>
      <c r="K504" s="21" t="n">
        <v>1.648292</v>
      </c>
    </row>
    <row r="506">
      <c r="A506" s="7" t="inlineStr">
        <is>
          <t>Lectura: en las 20 escenas el peso óptimo converge al límite inferior del rango publicado (m* = 0,30 en 20 de 20) y el radio que maximiza Fo es r = 1 en 18 de 20. Fo premia la fidelidad a las fuentes y por tanto el mínimo realce; la configuración adoptada (r = 25) proviene del criterio de evaluación de la tesis —las nueve métricas, todas «mayor es mejor»—, no de Fo.</t>
        </is>
      </c>
    </row>
  </sheetData>
  <autoFilter ref="A4:K5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Propuesta novedosa (r=25, m=0,30) — métricas en cada escena del TNO</t>
        </is>
      </c>
    </row>
    <row r="2">
      <c r="A2" s="2" t="inlineStr">
        <is>
          <t>Última fila: promedio y desvío estándar con fórmulas; el promedio coincide con la fila de la hoja Benchmark.</t>
        </is>
      </c>
    </row>
    <row r="4">
      <c r="A4" s="10" t="inlineStr">
        <is>
          <t>Escena</t>
        </is>
      </c>
      <c r="B4" s="10" t="inlineStr">
        <is>
          <t>EN</t>
        </is>
      </c>
      <c r="C4" s="10" t="inlineStr">
        <is>
          <t>SD</t>
        </is>
      </c>
      <c r="D4" s="10" t="inlineStr">
        <is>
          <t>FE</t>
        </is>
      </c>
      <c r="E4" s="10" t="inlineStr">
        <is>
          <t>MG</t>
        </is>
      </c>
      <c r="F4" s="10" t="inlineStr">
        <is>
          <t>MI_vis</t>
        </is>
      </c>
      <c r="G4" s="10" t="inlineStr">
        <is>
          <t>MI_ir</t>
        </is>
      </c>
      <c r="H4" s="10" t="inlineStr">
        <is>
          <t>SF</t>
        </is>
      </c>
      <c r="I4" s="10" t="inlineStr">
        <is>
          <t>SSIM</t>
        </is>
      </c>
      <c r="J4" s="10" t="inlineStr">
        <is>
          <t>PSNR</t>
        </is>
      </c>
    </row>
    <row r="5">
      <c r="A5" s="9" t="inlineStr">
        <is>
          <t>APC_1_view_1_fk_06_005</t>
        </is>
      </c>
      <c r="B5" s="16" t="n">
        <v>6.8649</v>
      </c>
      <c r="C5" s="16" t="n">
        <v>0.1258</v>
      </c>
      <c r="D5" s="16" t="n">
        <v>1.2756</v>
      </c>
      <c r="E5" s="16" t="n">
        <v>0.0339</v>
      </c>
      <c r="F5" s="16" t="n">
        <v>0.5967</v>
      </c>
      <c r="G5" s="16" t="n">
        <v>0.9035</v>
      </c>
      <c r="H5" s="16" t="n">
        <v>19.0093</v>
      </c>
      <c r="I5" s="16" t="n">
        <v>0.6734</v>
      </c>
      <c r="J5" s="16" t="n">
        <v>18.9702</v>
      </c>
    </row>
    <row r="6">
      <c r="A6" s="9" t="inlineStr">
        <is>
          <t>APC_1_view_2_fk_ref_01_005</t>
        </is>
      </c>
      <c r="B6" s="16" t="n">
        <v>7.0457</v>
      </c>
      <c r="C6" s="16" t="n">
        <v>0.1411</v>
      </c>
      <c r="D6" s="16" t="n">
        <v>1.1561</v>
      </c>
      <c r="E6" s="16" t="n">
        <v>0.0334</v>
      </c>
      <c r="F6" s="16" t="n">
        <v>1.0796</v>
      </c>
      <c r="G6" s="16" t="n">
        <v>0.7899</v>
      </c>
      <c r="H6" s="16" t="n">
        <v>18.7637</v>
      </c>
      <c r="I6" s="16" t="n">
        <v>0.71</v>
      </c>
      <c r="J6" s="16" t="n">
        <v>19.9204</v>
      </c>
    </row>
    <row r="7">
      <c r="A7" s="9" t="inlineStr">
        <is>
          <t>APC_1_view_3_fk_ref_02_005</t>
        </is>
      </c>
      <c r="B7" s="16" t="n">
        <v>7.2951</v>
      </c>
      <c r="C7" s="16" t="n">
        <v>0.1705</v>
      </c>
      <c r="D7" s="16" t="n">
        <v>1.136</v>
      </c>
      <c r="E7" s="16" t="n">
        <v>0.0408</v>
      </c>
      <c r="F7" s="16" t="n">
        <v>1.1978</v>
      </c>
      <c r="G7" s="16" t="n">
        <v>0.8427</v>
      </c>
      <c r="H7" s="16" t="n">
        <v>22.1786</v>
      </c>
      <c r="I7" s="16" t="n">
        <v>0.6657</v>
      </c>
      <c r="J7" s="16" t="n">
        <v>18.7957</v>
      </c>
    </row>
    <row r="8">
      <c r="A8" s="9" t="inlineStr">
        <is>
          <t>APC_3_view_1_fk_bar_06_005</t>
        </is>
      </c>
      <c r="B8" s="16" t="n">
        <v>6.9414</v>
      </c>
      <c r="C8" s="16" t="n">
        <v>0.1329</v>
      </c>
      <c r="D8" s="16" t="n">
        <v>1.2722</v>
      </c>
      <c r="E8" s="16" t="n">
        <v>0.0319</v>
      </c>
      <c r="F8" s="16" t="n">
        <v>0.8806</v>
      </c>
      <c r="G8" s="16" t="n">
        <v>1.1302</v>
      </c>
      <c r="H8" s="16" t="n">
        <v>18.3285</v>
      </c>
      <c r="I8" s="16" t="n">
        <v>0.7317</v>
      </c>
      <c r="J8" s="16" t="n">
        <v>21.2257</v>
      </c>
    </row>
    <row r="9">
      <c r="A9" s="9" t="inlineStr">
        <is>
          <t>APC_3_view_2_fk_NL_01_005</t>
        </is>
      </c>
      <c r="B9" s="16" t="n">
        <v>6.9306</v>
      </c>
      <c r="C9" s="16" t="n">
        <v>0.1388</v>
      </c>
      <c r="D9" s="16" t="n">
        <v>1.1601</v>
      </c>
      <c r="E9" s="16" t="n">
        <v>0.0292</v>
      </c>
      <c r="F9" s="16" t="n">
        <v>0.9258999999999999</v>
      </c>
      <c r="G9" s="16" t="n">
        <v>0.8871</v>
      </c>
      <c r="H9" s="16" t="n">
        <v>14.191</v>
      </c>
      <c r="I9" s="16" t="n">
        <v>0.7305</v>
      </c>
      <c r="J9" s="16" t="n">
        <v>19.4966</v>
      </c>
    </row>
    <row r="10">
      <c r="A10" s="9" t="inlineStr">
        <is>
          <t>APC_3_view_3_fk_NL_05_005</t>
        </is>
      </c>
      <c r="B10" s="16" t="n">
        <v>7.0819</v>
      </c>
      <c r="C10" s="16" t="n">
        <v>0.1444</v>
      </c>
      <c r="D10" s="16" t="n">
        <v>1.2311</v>
      </c>
      <c r="E10" s="16" t="n">
        <v>0.0303</v>
      </c>
      <c r="F10" s="16" t="n">
        <v>0.9785</v>
      </c>
      <c r="G10" s="16" t="n">
        <v>0.7826</v>
      </c>
      <c r="H10" s="16" t="n">
        <v>12.8088</v>
      </c>
      <c r="I10" s="16" t="n">
        <v>0.7077</v>
      </c>
      <c r="J10" s="16" t="n">
        <v>17.9869</v>
      </c>
    </row>
    <row r="11">
      <c r="A11" s="9" t="inlineStr">
        <is>
          <t>Athena_2_men_in_front_of_house_meting003</t>
        </is>
      </c>
      <c r="B11" s="16" t="n">
        <v>7.0672</v>
      </c>
      <c r="C11" s="16" t="n">
        <v>0.1437</v>
      </c>
      <c r="D11" s="16" t="n">
        <v>1.0207</v>
      </c>
      <c r="E11" s="16" t="n">
        <v>0.0338</v>
      </c>
      <c r="F11" s="16" t="n">
        <v>0.68</v>
      </c>
      <c r="G11" s="16" t="n">
        <v>0.4892</v>
      </c>
      <c r="H11" s="16" t="n">
        <v>15.6543</v>
      </c>
      <c r="I11" s="16" t="n">
        <v>0.6664</v>
      </c>
      <c r="J11" s="16" t="n">
        <v>15.1694</v>
      </c>
    </row>
    <row r="12">
      <c r="A12" s="9" t="inlineStr">
        <is>
          <t>Athena_APC_4_fennek01_005</t>
        </is>
      </c>
      <c r="B12" s="16" t="n">
        <v>6.356</v>
      </c>
      <c r="C12" s="16" t="n">
        <v>0.0799</v>
      </c>
      <c r="D12" s="16" t="n">
        <v>1.0127</v>
      </c>
      <c r="E12" s="16" t="n">
        <v>0.0314</v>
      </c>
      <c r="F12" s="16" t="n">
        <v>0.4235</v>
      </c>
      <c r="G12" s="16" t="n">
        <v>0.142</v>
      </c>
      <c r="H12" s="16" t="n">
        <v>13.3431</v>
      </c>
      <c r="I12" s="16" t="n">
        <v>0.6945</v>
      </c>
      <c r="J12" s="16" t="n">
        <v>21.6535</v>
      </c>
    </row>
    <row r="13">
      <c r="A13" s="9" t="inlineStr">
        <is>
          <t>Athena_heather_hei_vis</t>
        </is>
      </c>
      <c r="B13" s="16" t="n">
        <v>7.1353</v>
      </c>
      <c r="C13" s="16" t="n">
        <v>0.144</v>
      </c>
      <c r="D13" s="16" t="n">
        <v>0.9944</v>
      </c>
      <c r="E13" s="16" t="n">
        <v>0.0362</v>
      </c>
      <c r="F13" s="16" t="n">
        <v>0.7135</v>
      </c>
      <c r="G13" s="16" t="n">
        <v>0.544</v>
      </c>
      <c r="H13" s="16" t="n">
        <v>16.4501</v>
      </c>
      <c r="I13" s="16" t="n">
        <v>0.6148</v>
      </c>
      <c r="J13" s="16" t="n">
        <v>15.4811</v>
      </c>
    </row>
    <row r="14">
      <c r="A14" s="9" t="inlineStr">
        <is>
          <t>Athena_helicopter_helib_011</t>
        </is>
      </c>
      <c r="B14" s="16" t="n">
        <v>5.5101</v>
      </c>
      <c r="C14" s="16" t="n">
        <v>0.0582</v>
      </c>
      <c r="D14" s="16" t="n">
        <v>1.1915</v>
      </c>
      <c r="E14" s="16" t="n">
        <v>0.0184</v>
      </c>
      <c r="F14" s="16" t="n">
        <v>0.9182</v>
      </c>
      <c r="G14" s="16" t="n">
        <v>0.4138</v>
      </c>
      <c r="H14" s="16" t="n">
        <v>7.913</v>
      </c>
      <c r="I14" s="16" t="n">
        <v>0.7645999999999999</v>
      </c>
      <c r="J14" s="16" t="n">
        <v>18.3341</v>
      </c>
    </row>
    <row r="15">
      <c r="A15" s="9" t="inlineStr">
        <is>
          <t>Athena_lake_lake</t>
        </is>
      </c>
      <c r="B15" s="16" t="n">
        <v>6.9289</v>
      </c>
      <c r="C15" s="16" t="n">
        <v>0.1294</v>
      </c>
      <c r="D15" s="16" t="n">
        <v>1.0027</v>
      </c>
      <c r="E15" s="16" t="n">
        <v>0.0313</v>
      </c>
      <c r="F15" s="16" t="n">
        <v>0.7833</v>
      </c>
      <c r="G15" s="16" t="n">
        <v>0.2797</v>
      </c>
      <c r="H15" s="16" t="n">
        <v>14.595</v>
      </c>
      <c r="I15" s="16" t="n">
        <v>0.6532</v>
      </c>
      <c r="J15" s="16" t="n">
        <v>16.3503</v>
      </c>
    </row>
    <row r="16">
      <c r="A16" s="9" t="inlineStr">
        <is>
          <t>Athena_man_in_doorway_maninhuis</t>
        </is>
      </c>
      <c r="B16" s="16" t="n">
        <v>7.4009</v>
      </c>
      <c r="C16" s="16" t="n">
        <v>0.1717</v>
      </c>
      <c r="D16" s="16" t="n">
        <v>1.0321</v>
      </c>
      <c r="E16" s="16" t="n">
        <v>0.0439</v>
      </c>
      <c r="F16" s="16" t="n">
        <v>0.7228</v>
      </c>
      <c r="G16" s="16" t="n">
        <v>0.2983</v>
      </c>
      <c r="H16" s="16" t="n">
        <v>18.9232</v>
      </c>
      <c r="I16" s="16" t="n">
        <v>0.615</v>
      </c>
      <c r="J16" s="16" t="n">
        <v>14.5655</v>
      </c>
    </row>
    <row r="17">
      <c r="A17" s="9" t="inlineStr">
        <is>
          <t>Athena_soldier_behind_smoke_1_meting012-1200</t>
        </is>
      </c>
      <c r="B17" s="16" t="n">
        <v>7.4075</v>
      </c>
      <c r="C17" s="16" t="n">
        <v>0.1754</v>
      </c>
      <c r="D17" s="16" t="n">
        <v>1.0896</v>
      </c>
      <c r="E17" s="16" t="n">
        <v>0.0393</v>
      </c>
      <c r="F17" s="16" t="n">
        <v>1.0198</v>
      </c>
      <c r="G17" s="16" t="n">
        <v>0.3148</v>
      </c>
      <c r="H17" s="16" t="n">
        <v>17.1852</v>
      </c>
      <c r="I17" s="16" t="n">
        <v>0.5835</v>
      </c>
      <c r="J17" s="16" t="n">
        <v>13.1802</v>
      </c>
    </row>
    <row r="18">
      <c r="A18" s="9" t="inlineStr">
        <is>
          <t>Athena_soldier_behind_smoke_2_meting012-1500</t>
        </is>
      </c>
      <c r="B18" s="16" t="n">
        <v>7.2242</v>
      </c>
      <c r="C18" s="16" t="n">
        <v>0.1572</v>
      </c>
      <c r="D18" s="16" t="n">
        <v>1.163</v>
      </c>
      <c r="E18" s="16" t="n">
        <v>0.0319</v>
      </c>
      <c r="F18" s="16" t="n">
        <v>1.0326</v>
      </c>
      <c r="G18" s="16" t="n">
        <v>0.4759</v>
      </c>
      <c r="H18" s="16" t="n">
        <v>15.2839</v>
      </c>
      <c r="I18" s="16" t="n">
        <v>0.6042999999999999</v>
      </c>
      <c r="J18" s="16" t="n">
        <v>11.1201</v>
      </c>
    </row>
    <row r="19">
      <c r="A19" s="9" t="inlineStr">
        <is>
          <t>Athena_soldier_behind_smoke_3_meting012-1700</t>
        </is>
      </c>
      <c r="B19" s="16" t="n">
        <v>7.3131</v>
      </c>
      <c r="C19" s="16" t="n">
        <v>0.1569</v>
      </c>
      <c r="D19" s="16" t="n">
        <v>1.0453</v>
      </c>
      <c r="E19" s="16" t="n">
        <v>0.0467</v>
      </c>
      <c r="F19" s="16" t="n">
        <v>1.02</v>
      </c>
      <c r="G19" s="16" t="n">
        <v>0.2179</v>
      </c>
      <c r="H19" s="16" t="n">
        <v>21.5253</v>
      </c>
      <c r="I19" s="16" t="n">
        <v>0.5846</v>
      </c>
      <c r="J19" s="16" t="n">
        <v>13.553</v>
      </c>
    </row>
    <row r="20">
      <c r="A20" s="9" t="inlineStr">
        <is>
          <t>Athena_soldier_in_trench_1_meting016</t>
        </is>
      </c>
      <c r="B20" s="16" t="n">
        <v>6.9904</v>
      </c>
      <c r="C20" s="16" t="n">
        <v>0.1321</v>
      </c>
      <c r="D20" s="16" t="n">
        <v>1.0194</v>
      </c>
      <c r="E20" s="16" t="n">
        <v>0.0366</v>
      </c>
      <c r="F20" s="16" t="n">
        <v>1.0234</v>
      </c>
      <c r="G20" s="16" t="n">
        <v>0.3795</v>
      </c>
      <c r="H20" s="16" t="n">
        <v>18.107</v>
      </c>
      <c r="I20" s="16" t="n">
        <v>0.6431</v>
      </c>
      <c r="J20" s="16" t="n">
        <v>16.1917</v>
      </c>
    </row>
    <row r="21">
      <c r="A21" s="9" t="inlineStr">
        <is>
          <t>Athena_soldier_in_trench_2_meting055</t>
        </is>
      </c>
      <c r="B21" s="16" t="n">
        <v>6.8685</v>
      </c>
      <c r="C21" s="16" t="n">
        <v>0.1211</v>
      </c>
      <c r="D21" s="16" t="n">
        <v>1.04</v>
      </c>
      <c r="E21" s="16" t="n">
        <v>0.0438</v>
      </c>
      <c r="F21" s="16" t="n">
        <v>1.0178</v>
      </c>
      <c r="G21" s="16" t="n">
        <v>0.1924</v>
      </c>
      <c r="H21" s="16" t="n">
        <v>20.8475</v>
      </c>
      <c r="I21" s="16" t="n">
        <v>0.6002999999999999</v>
      </c>
      <c r="J21" s="16" t="n">
        <v>18.4304</v>
      </c>
    </row>
    <row r="22">
      <c r="A22" s="9" t="inlineStr">
        <is>
          <t>Triclobs_Bosnia_R</t>
        </is>
      </c>
      <c r="B22" s="16" t="n">
        <v>6.9754</v>
      </c>
      <c r="C22" s="16" t="n">
        <v>0.2236</v>
      </c>
      <c r="D22" s="16" t="n">
        <v>1.1708</v>
      </c>
      <c r="E22" s="16" t="n">
        <v>0.0297</v>
      </c>
      <c r="F22" s="16" t="n">
        <v>0.8874</v>
      </c>
      <c r="G22" s="16" t="n">
        <v>1.3119</v>
      </c>
      <c r="H22" s="16" t="n">
        <v>18.8666</v>
      </c>
      <c r="I22" s="16" t="n">
        <v>0.6853</v>
      </c>
      <c r="J22" s="16" t="n">
        <v>15.0098</v>
      </c>
    </row>
    <row r="23">
      <c r="A23" s="9" t="inlineStr">
        <is>
          <t>Triclobs_Kaptein_1123</t>
        </is>
      </c>
      <c r="B23" s="16" t="n">
        <v>6.9811</v>
      </c>
      <c r="C23" s="16" t="n">
        <v>0.1551</v>
      </c>
      <c r="D23" s="16" t="n">
        <v>0.9982</v>
      </c>
      <c r="E23" s="16" t="n">
        <v>0.0288</v>
      </c>
      <c r="F23" s="16" t="n">
        <v>0.7872</v>
      </c>
      <c r="G23" s="16" t="n">
        <v>0.6708</v>
      </c>
      <c r="H23" s="16" t="n">
        <v>12.3821</v>
      </c>
      <c r="I23" s="16" t="n">
        <v>0.6719000000000001</v>
      </c>
      <c r="J23" s="16" t="n">
        <v>15.7802</v>
      </c>
    </row>
    <row r="24">
      <c r="A24" s="9" t="inlineStr">
        <is>
          <t>Triclobs_jeep_in_smoke_R</t>
        </is>
      </c>
      <c r="B24" s="16" t="n">
        <v>7.3926</v>
      </c>
      <c r="C24" s="16" t="n">
        <v>0.1771</v>
      </c>
      <c r="D24" s="16" t="n">
        <v>1.0823</v>
      </c>
      <c r="E24" s="16" t="n">
        <v>0.0585</v>
      </c>
      <c r="F24" s="16" t="n">
        <v>1.251</v>
      </c>
      <c r="G24" s="16" t="n">
        <v>0.9398</v>
      </c>
      <c r="H24" s="16" t="n">
        <v>32.4941</v>
      </c>
      <c r="I24" s="16" t="n">
        <v>0.5682</v>
      </c>
      <c r="J24" s="16" t="n">
        <v>15.604</v>
      </c>
    </row>
    <row r="25">
      <c r="A25" s="8" t="inlineStr">
        <is>
          <t>PROMEDIO (20 escenas)</t>
        </is>
      </c>
      <c r="B25" s="17">
        <f>AVERAGE(B5:B24)</f>
        <v/>
      </c>
      <c r="C25" s="17">
        <f>AVERAGE(C5:C24)</f>
        <v/>
      </c>
      <c r="D25" s="17">
        <f>AVERAGE(D5:D24)</f>
        <v/>
      </c>
      <c r="E25" s="17">
        <f>AVERAGE(E5:E24)</f>
        <v/>
      </c>
      <c r="F25" s="17">
        <f>AVERAGE(F5:F24)</f>
        <v/>
      </c>
      <c r="G25" s="17">
        <f>AVERAGE(G5:G24)</f>
        <v/>
      </c>
      <c r="H25" s="17">
        <f>AVERAGE(H5:H24)</f>
        <v/>
      </c>
      <c r="I25" s="17">
        <f>AVERAGE(I5:I24)</f>
        <v/>
      </c>
      <c r="J25" s="17">
        <f>AVERAGE(J5:J24)</f>
        <v/>
      </c>
    </row>
    <row r="26">
      <c r="A26" s="8" t="inlineStr">
        <is>
          <t>DESVÍO ESTÁNDAR</t>
        </is>
      </c>
      <c r="B26" s="17">
        <f>STDEV(B5:B24)</f>
        <v/>
      </c>
      <c r="C26" s="17">
        <f>STDEV(C5:C24)</f>
        <v/>
      </c>
      <c r="D26" s="17">
        <f>STDEV(D5:D24)</f>
        <v/>
      </c>
      <c r="E26" s="17">
        <f>STDEV(E5:E24)</f>
        <v/>
      </c>
      <c r="F26" s="17">
        <f>STDEV(F5:F24)</f>
        <v/>
      </c>
      <c r="G26" s="17">
        <f>STDEV(G5:G24)</f>
        <v/>
      </c>
      <c r="H26" s="17">
        <f>STDEV(H5:H24)</f>
        <v/>
      </c>
      <c r="I26" s="17">
        <f>STDEV(I5:I24)</f>
        <v/>
      </c>
      <c r="J26" s="17">
        <f>STDEV(J5:J24)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</cols>
  <sheetData>
    <row r="1">
      <c r="A1" s="1" t="inlineStr">
        <is>
          <t>Test de Friedman por métrica (7 métodos × 20 imágenes, por rangos)</t>
        </is>
      </c>
    </row>
    <row r="2">
      <c r="A2" s="2" t="inlineStr">
        <is>
          <t>H0: no hay diferencias entre métodos. Significativa = p &lt; 0,05.</t>
        </is>
      </c>
    </row>
    <row r="4">
      <c r="A4" s="10" t="inlineStr">
        <is>
          <t>Métrica</t>
        </is>
      </c>
      <c r="B4" s="10" t="inlineStr">
        <is>
          <t>χ² de Friedman</t>
        </is>
      </c>
      <c r="C4" s="10" t="inlineStr">
        <is>
          <t>p-valor</t>
        </is>
      </c>
      <c r="D4" s="10" t="inlineStr">
        <is>
          <t>Significativa (α=0,05)</t>
        </is>
      </c>
    </row>
    <row r="5">
      <c r="A5" s="24" t="inlineStr">
        <is>
          <t>EN</t>
        </is>
      </c>
      <c r="B5" s="25" t="n">
        <v>88.29000000000001</v>
      </c>
      <c r="C5" s="26" t="n">
        <v>6.876411783547159e-17</v>
      </c>
      <c r="D5" s="15" t="inlineStr">
        <is>
          <t>Sí</t>
        </is>
      </c>
    </row>
    <row r="6">
      <c r="A6" s="24" t="inlineStr">
        <is>
          <t>SD</t>
        </is>
      </c>
      <c r="B6" s="25" t="n">
        <v>105.13</v>
      </c>
      <c r="C6" s="26" t="n">
        <v>2.130555004080063e-20</v>
      </c>
      <c r="D6" s="15" t="inlineStr">
        <is>
          <t>Sí</t>
        </is>
      </c>
    </row>
    <row r="7">
      <c r="A7" s="24" t="inlineStr">
        <is>
          <t>FE</t>
        </is>
      </c>
      <c r="B7" s="25" t="n">
        <v>88.29000000000001</v>
      </c>
      <c r="C7" s="26" t="n">
        <v>6.876411783547159e-17</v>
      </c>
      <c r="D7" s="15" t="inlineStr">
        <is>
          <t>Sí</t>
        </is>
      </c>
    </row>
    <row r="8">
      <c r="A8" s="24" t="inlineStr">
        <is>
          <t>MG</t>
        </is>
      </c>
      <c r="B8" s="25" t="n">
        <v>101.74</v>
      </c>
      <c r="C8" s="26" t="n">
        <v>1.085943139779175e-19</v>
      </c>
      <c r="D8" s="15" t="inlineStr">
        <is>
          <t>Sí</t>
        </is>
      </c>
    </row>
    <row r="9">
      <c r="A9" s="24" t="inlineStr">
        <is>
          <t>MI_vis</t>
        </is>
      </c>
      <c r="B9" s="25" t="n">
        <v>73.63</v>
      </c>
      <c r="C9" s="26" t="n">
        <v>7.350963718007362e-14</v>
      </c>
      <c r="D9" s="15" t="inlineStr">
        <is>
          <t>Sí</t>
        </is>
      </c>
    </row>
    <row r="10">
      <c r="A10" s="24" t="inlineStr">
        <is>
          <t>MI_ir</t>
        </is>
      </c>
      <c r="B10" s="25" t="n">
        <v>58.01</v>
      </c>
      <c r="C10" s="26" t="n">
        <v>1.142107677450858e-10</v>
      </c>
      <c r="D10" s="15" t="inlineStr">
        <is>
          <t>Sí</t>
        </is>
      </c>
    </row>
    <row r="11">
      <c r="A11" s="24" t="inlineStr">
        <is>
          <t>SF</t>
        </is>
      </c>
      <c r="B11" s="25" t="n">
        <v>97.31</v>
      </c>
      <c r="C11" s="26" t="n">
        <v>9.142595498308168e-19</v>
      </c>
      <c r="D11" s="15" t="inlineStr">
        <is>
          <t>Sí</t>
        </is>
      </c>
    </row>
    <row r="12">
      <c r="A12" s="24" t="inlineStr">
        <is>
          <t>SSIM</t>
        </is>
      </c>
      <c r="B12" s="25" t="n">
        <v>100.46</v>
      </c>
      <c r="C12" s="26" t="n">
        <v>2.014505898653778e-19</v>
      </c>
      <c r="D12" s="15" t="inlineStr">
        <is>
          <t>Sí</t>
        </is>
      </c>
    </row>
    <row r="13">
      <c r="A13" s="24" t="inlineStr">
        <is>
          <t>PSNR</t>
        </is>
      </c>
      <c r="B13" s="25" t="n">
        <v>111.84</v>
      </c>
      <c r="C13" s="26" t="n">
        <v>8.409774011663398e-22</v>
      </c>
      <c r="D13" s="15" t="inlineStr">
        <is>
          <t>Sí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10" customWidth="1" min="4" max="4"/>
    <col width="12" customWidth="1" min="5" max="5"/>
    <col width="12" customWidth="1" min="6" max="6"/>
    <col width="11" customWidth="1" min="7" max="7"/>
    <col width="11" customWidth="1" min="8" max="8"/>
    <col width="9" customWidth="1" min="9" max="9"/>
    <col width="11" customWidth="1" min="10" max="10"/>
  </cols>
  <sheetData>
    <row r="1">
      <c r="A1" s="1" t="inlineStr">
        <is>
          <t>Wilcoxon pareado (20 imágenes) — métodos morfológicos vs. estado del arte</t>
        </is>
      </c>
    </row>
    <row r="2">
      <c r="A2" s="2" t="inlineStr">
        <is>
          <t>Corrección de Holm por métrica. Resultado por fórmula: ≈ si p_holm ≥ 0,05; si no, mejor/peor según (media método − media rival) × dirección (columna D; todas las métricas +1).</t>
        </is>
      </c>
    </row>
    <row r="4">
      <c r="A4" s="10" t="inlineStr">
        <is>
          <t>Método</t>
        </is>
      </c>
      <c r="B4" s="10" t="inlineStr">
        <is>
          <t>Rival</t>
        </is>
      </c>
      <c r="C4" s="10" t="inlineStr">
        <is>
          <t>Métrica</t>
        </is>
      </c>
      <c r="D4" s="10" t="inlineStr">
        <is>
          <t>Dirección</t>
        </is>
      </c>
      <c r="E4" s="10" t="inlineStr">
        <is>
          <t>Media método</t>
        </is>
      </c>
      <c r="F4" s="10" t="inlineStr">
        <is>
          <t>Media rival</t>
        </is>
      </c>
      <c r="G4" s="10" t="inlineStr">
        <is>
          <t>p</t>
        </is>
      </c>
      <c r="H4" s="10" t="inlineStr">
        <is>
          <t>p (Holm)</t>
        </is>
      </c>
      <c r="I4" s="10" t="inlineStr">
        <is>
          <t>Efecto r</t>
        </is>
      </c>
      <c r="J4" s="10" t="inlineStr">
        <is>
          <t>Resultado</t>
        </is>
      </c>
    </row>
    <row r="5">
      <c r="A5" s="8" t="inlineStr">
        <is>
          <t>Propuesta</t>
        </is>
      </c>
      <c r="B5" s="9" t="inlineStr">
        <is>
          <t>CVT</t>
        </is>
      </c>
      <c r="C5" s="24" t="inlineStr">
        <is>
          <t>EN</t>
        </is>
      </c>
      <c r="D5" s="11" t="n">
        <v>1</v>
      </c>
      <c r="E5" s="12" t="n">
        <v>6.9855</v>
      </c>
      <c r="F5" s="12" t="n">
        <v>6.6445</v>
      </c>
      <c r="G5" s="26" t="n">
        <v>1.9073486328125e-06</v>
      </c>
      <c r="H5" s="26" t="n">
        <v>2.09808349609375e-05</v>
      </c>
      <c r="I5" s="20" t="n">
        <v>1</v>
      </c>
      <c r="J5" s="15">
        <f>IF(H5&gt;=0.05,"≈",IF((E5-F5)*D5&gt;0,"mejor","peor"))</f>
        <v/>
      </c>
    </row>
    <row r="6">
      <c r="A6" s="8" t="inlineStr">
        <is>
          <t>Propuesta</t>
        </is>
      </c>
      <c r="B6" s="9" t="inlineStr">
        <is>
          <t>CVT</t>
        </is>
      </c>
      <c r="C6" s="24" t="inlineStr">
        <is>
          <t>FE</t>
        </is>
      </c>
      <c r="D6" s="11" t="n">
        <v>1</v>
      </c>
      <c r="E6" s="12" t="n">
        <v>1.1047</v>
      </c>
      <c r="F6" s="12" t="n">
        <v>1.0507</v>
      </c>
      <c r="G6" s="26" t="n">
        <v>1.9073486328125e-06</v>
      </c>
      <c r="H6" s="26" t="n">
        <v>2.09808349609375e-05</v>
      </c>
      <c r="I6" s="20" t="n">
        <v>1</v>
      </c>
      <c r="J6" s="15">
        <f>IF(H6&gt;=0.05,"≈",IF((E6-F6)*D6&gt;0,"mejor","peor"))</f>
        <v/>
      </c>
    </row>
    <row r="7">
      <c r="A7" s="8" t="inlineStr">
        <is>
          <t>Propuesta</t>
        </is>
      </c>
      <c r="B7" s="9" t="inlineStr">
        <is>
          <t>CVT</t>
        </is>
      </c>
      <c r="C7" s="24" t="inlineStr">
        <is>
          <t>MG</t>
        </is>
      </c>
      <c r="D7" s="11" t="n">
        <v>1</v>
      </c>
      <c r="E7" s="12" t="n">
        <v>0.0355</v>
      </c>
      <c r="F7" s="12" t="n">
        <v>0.026</v>
      </c>
      <c r="G7" s="26" t="n">
        <v>1.9073486328125e-06</v>
      </c>
      <c r="H7" s="26" t="n">
        <v>2.09808349609375e-05</v>
      </c>
      <c r="I7" s="20" t="n">
        <v>1</v>
      </c>
      <c r="J7" s="15">
        <f>IF(H7&gt;=0.05,"≈",IF((E7-F7)*D7&gt;0,"mejor","peor"))</f>
        <v/>
      </c>
    </row>
    <row r="8">
      <c r="A8" s="8" t="inlineStr">
        <is>
          <t>Propuesta</t>
        </is>
      </c>
      <c r="B8" s="9" t="inlineStr">
        <is>
          <t>CVT</t>
        </is>
      </c>
      <c r="C8" s="24" t="inlineStr">
        <is>
          <t>MI_ir</t>
        </is>
      </c>
      <c r="D8" s="11" t="n">
        <v>1</v>
      </c>
      <c r="E8" s="12" t="n">
        <v>0.6002999999999999</v>
      </c>
      <c r="F8" s="12" t="n">
        <v>0.6695</v>
      </c>
      <c r="G8" s="26" t="n">
        <v>3.62396240234375e-05</v>
      </c>
      <c r="H8" s="26" t="n">
        <v>0.0002174377441406</v>
      </c>
      <c r="I8" s="20" t="n">
        <v>-0.93</v>
      </c>
      <c r="J8" s="15">
        <f>IF(H8&gt;=0.05,"≈",IF((E8-F8)*D8&gt;0,"mejor","peor"))</f>
        <v/>
      </c>
    </row>
    <row r="9">
      <c r="A9" s="8" t="inlineStr">
        <is>
          <t>Propuesta</t>
        </is>
      </c>
      <c r="B9" s="9" t="inlineStr">
        <is>
          <t>CVT</t>
        </is>
      </c>
      <c r="C9" s="24" t="inlineStr">
        <is>
          <t>MI_vis</t>
        </is>
      </c>
      <c r="D9" s="11" t="n">
        <v>1</v>
      </c>
      <c r="E9" s="12" t="n">
        <v>0.897</v>
      </c>
      <c r="F9" s="12" t="n">
        <v>1.0961</v>
      </c>
      <c r="G9" s="26" t="n">
        <v>5.7220458984375e-06</v>
      </c>
      <c r="H9" s="26" t="n">
        <v>3.4332275390625e-05</v>
      </c>
      <c r="I9" s="20" t="n">
        <v>-0.98</v>
      </c>
      <c r="J9" s="15">
        <f>IF(H9&gt;=0.05,"≈",IF((E9-F9)*D9&gt;0,"mejor","peor"))</f>
        <v/>
      </c>
    </row>
    <row r="10">
      <c r="A10" s="8" t="inlineStr">
        <is>
          <t>Propuesta</t>
        </is>
      </c>
      <c r="B10" s="9" t="inlineStr">
        <is>
          <t>CVT</t>
        </is>
      </c>
      <c r="C10" s="24" t="inlineStr">
        <is>
          <t>PSNR</t>
        </is>
      </c>
      <c r="D10" s="11" t="n">
        <v>1</v>
      </c>
      <c r="E10" s="12" t="n">
        <v>16.8409</v>
      </c>
      <c r="F10" s="12" t="n">
        <v>17.6523</v>
      </c>
      <c r="G10" s="26" t="n">
        <v>1.9073486328125e-06</v>
      </c>
      <c r="H10" s="26" t="n">
        <v>2.09808349609375e-05</v>
      </c>
      <c r="I10" s="20" t="n">
        <v>-1</v>
      </c>
      <c r="J10" s="15">
        <f>IF(H10&gt;=0.05,"≈",IF((E10-F10)*D10&gt;0,"mejor","peor"))</f>
        <v/>
      </c>
    </row>
    <row r="11">
      <c r="A11" s="8" t="inlineStr">
        <is>
          <t>Propuesta</t>
        </is>
      </c>
      <c r="B11" s="9" t="inlineStr">
        <is>
          <t>CVT</t>
        </is>
      </c>
      <c r="C11" s="24" t="inlineStr">
        <is>
          <t>SD</t>
        </is>
      </c>
      <c r="D11" s="11" t="n">
        <v>1</v>
      </c>
      <c r="E11" s="12" t="n">
        <v>0.1439</v>
      </c>
      <c r="F11" s="12" t="n">
        <v>0.1132</v>
      </c>
      <c r="G11" s="26" t="n">
        <v>1.9073486328125e-06</v>
      </c>
      <c r="H11" s="26" t="n">
        <v>2.09808349609375e-05</v>
      </c>
      <c r="I11" s="20" t="n">
        <v>1</v>
      </c>
      <c r="J11" s="15">
        <f>IF(H11&gt;=0.05,"≈",IF((E11-F11)*D11&gt;0,"mejor","peor"))</f>
        <v/>
      </c>
    </row>
    <row r="12">
      <c r="A12" s="8" t="inlineStr">
        <is>
          <t>Propuesta</t>
        </is>
      </c>
      <c r="B12" s="9" t="inlineStr">
        <is>
          <t>CVT</t>
        </is>
      </c>
      <c r="C12" s="24" t="inlineStr">
        <is>
          <t>SF</t>
        </is>
      </c>
      <c r="D12" s="11" t="n">
        <v>1</v>
      </c>
      <c r="E12" s="12" t="n">
        <v>17.4425</v>
      </c>
      <c r="F12" s="12" t="n">
        <v>13.3379</v>
      </c>
      <c r="G12" s="26" t="n">
        <v>1.9073486328125e-06</v>
      </c>
      <c r="H12" s="26" t="n">
        <v>2.09808349609375e-05</v>
      </c>
      <c r="I12" s="20" t="n">
        <v>1</v>
      </c>
      <c r="J12" s="15">
        <f>IF(H12&gt;=0.05,"≈",IF((E12-F12)*D12&gt;0,"mejor","peor"))</f>
        <v/>
      </c>
    </row>
    <row r="13">
      <c r="A13" s="8" t="inlineStr">
        <is>
          <t>Propuesta</t>
        </is>
      </c>
      <c r="B13" s="9" t="inlineStr">
        <is>
          <t>CVT</t>
        </is>
      </c>
      <c r="C13" s="24" t="inlineStr">
        <is>
          <t>SSIM</t>
        </is>
      </c>
      <c r="D13" s="11" t="n">
        <v>1</v>
      </c>
      <c r="E13" s="12" t="n">
        <v>0.6584</v>
      </c>
      <c r="F13" s="12" t="n">
        <v>0.7161999999999999</v>
      </c>
      <c r="G13" s="26" t="n">
        <v>1.9073486328125e-06</v>
      </c>
      <c r="H13" s="26" t="n">
        <v>2.09808349609375e-05</v>
      </c>
      <c r="I13" s="20" t="n">
        <v>-1</v>
      </c>
      <c r="J13" s="15">
        <f>IF(H13&gt;=0.05,"≈",IF((E13-F13)*D13&gt;0,"mejor","peor"))</f>
        <v/>
      </c>
    </row>
    <row r="14">
      <c r="A14" s="8" t="inlineStr">
        <is>
          <t>Propuesta</t>
        </is>
      </c>
      <c r="B14" s="9" t="inlineStr">
        <is>
          <t>DTCWT</t>
        </is>
      </c>
      <c r="C14" s="24" t="inlineStr">
        <is>
          <t>EN</t>
        </is>
      </c>
      <c r="D14" s="11" t="n">
        <v>1</v>
      </c>
      <c r="E14" s="12" t="n">
        <v>6.9855</v>
      </c>
      <c r="F14" s="12" t="n">
        <v>6.6877</v>
      </c>
      <c r="G14" s="26" t="n">
        <v>1.9073486328125e-06</v>
      </c>
      <c r="H14" s="26" t="n">
        <v>2.09808349609375e-05</v>
      </c>
      <c r="I14" s="20" t="n">
        <v>1</v>
      </c>
      <c r="J14" s="15">
        <f>IF(H14&gt;=0.05,"≈",IF((E14-F14)*D14&gt;0,"mejor","peor"))</f>
        <v/>
      </c>
    </row>
    <row r="15">
      <c r="A15" s="8" t="inlineStr">
        <is>
          <t>Propuesta</t>
        </is>
      </c>
      <c r="B15" s="9" t="inlineStr">
        <is>
          <t>DTCWT</t>
        </is>
      </c>
      <c r="C15" s="24" t="inlineStr">
        <is>
          <t>FE</t>
        </is>
      </c>
      <c r="D15" s="11" t="n">
        <v>1</v>
      </c>
      <c r="E15" s="12" t="n">
        <v>1.1047</v>
      </c>
      <c r="F15" s="12" t="n">
        <v>1.0577</v>
      </c>
      <c r="G15" s="26" t="n">
        <v>1.9073486328125e-06</v>
      </c>
      <c r="H15" s="26" t="n">
        <v>2.09808349609375e-05</v>
      </c>
      <c r="I15" s="20" t="n">
        <v>1</v>
      </c>
      <c r="J15" s="15">
        <f>IF(H15&gt;=0.05,"≈",IF((E15-F15)*D15&gt;0,"mejor","peor"))</f>
        <v/>
      </c>
    </row>
    <row r="16">
      <c r="A16" s="8" t="inlineStr">
        <is>
          <t>Propuesta</t>
        </is>
      </c>
      <c r="B16" s="9" t="inlineStr">
        <is>
          <t>DTCWT</t>
        </is>
      </c>
      <c r="C16" s="24" t="inlineStr">
        <is>
          <t>MG</t>
        </is>
      </c>
      <c r="D16" s="11" t="n">
        <v>1</v>
      </c>
      <c r="E16" s="12" t="n">
        <v>0.0355</v>
      </c>
      <c r="F16" s="12" t="n">
        <v>0.0255</v>
      </c>
      <c r="G16" s="26" t="n">
        <v>1.9073486328125e-06</v>
      </c>
      <c r="H16" s="26" t="n">
        <v>2.09808349609375e-05</v>
      </c>
      <c r="I16" s="20" t="n">
        <v>1</v>
      </c>
      <c r="J16" s="15">
        <f>IF(H16&gt;=0.05,"≈",IF((E16-F16)*D16&gt;0,"mejor","peor"))</f>
        <v/>
      </c>
    </row>
    <row r="17">
      <c r="A17" s="8" t="inlineStr">
        <is>
          <t>Propuesta</t>
        </is>
      </c>
      <c r="B17" s="9" t="inlineStr">
        <is>
          <t>DTCWT</t>
        </is>
      </c>
      <c r="C17" s="24" t="inlineStr">
        <is>
          <t>MI_ir</t>
        </is>
      </c>
      <c r="D17" s="11" t="n">
        <v>1</v>
      </c>
      <c r="E17" s="12" t="n">
        <v>0.6002999999999999</v>
      </c>
      <c r="F17" s="12" t="n">
        <v>0.6728</v>
      </c>
      <c r="G17" s="26" t="n">
        <v>1.33514404296875e-05</v>
      </c>
      <c r="H17" s="26" t="n">
        <v>9.34600830078125e-05</v>
      </c>
      <c r="I17" s="20" t="n">
        <v>-0.96</v>
      </c>
      <c r="J17" s="15">
        <f>IF(H17&gt;=0.05,"≈",IF((E17-F17)*D17&gt;0,"mejor","peor"))</f>
        <v/>
      </c>
    </row>
    <row r="18">
      <c r="A18" s="8" t="inlineStr">
        <is>
          <t>Propuesta</t>
        </is>
      </c>
      <c r="B18" s="9" t="inlineStr">
        <is>
          <t>DTCWT</t>
        </is>
      </c>
      <c r="C18" s="24" t="inlineStr">
        <is>
          <t>MI_vis</t>
        </is>
      </c>
      <c r="D18" s="11" t="n">
        <v>1</v>
      </c>
      <c r="E18" s="12" t="n">
        <v>0.897</v>
      </c>
      <c r="F18" s="12" t="n">
        <v>1.0781</v>
      </c>
      <c r="G18" s="26" t="n">
        <v>3.814697265625e-06</v>
      </c>
      <c r="H18" s="26" t="n">
        <v>3.0517578125e-05</v>
      </c>
      <c r="I18" s="20" t="n">
        <v>-0.99</v>
      </c>
      <c r="J18" s="15">
        <f>IF(H18&gt;=0.05,"≈",IF((E18-F18)*D18&gt;0,"mejor","peor"))</f>
        <v/>
      </c>
    </row>
    <row r="19">
      <c r="A19" s="8" t="inlineStr">
        <is>
          <t>Propuesta</t>
        </is>
      </c>
      <c r="B19" s="9" t="inlineStr">
        <is>
          <t>DTCWT</t>
        </is>
      </c>
      <c r="C19" s="24" t="inlineStr">
        <is>
          <t>PSNR</t>
        </is>
      </c>
      <c r="D19" s="11" t="n">
        <v>1</v>
      </c>
      <c r="E19" s="12" t="n">
        <v>16.8409</v>
      </c>
      <c r="F19" s="12" t="n">
        <v>17.5974</v>
      </c>
      <c r="G19" s="26" t="n">
        <v>1.9073486328125e-06</v>
      </c>
      <c r="H19" s="26" t="n">
        <v>2.09808349609375e-05</v>
      </c>
      <c r="I19" s="20" t="n">
        <v>-1</v>
      </c>
      <c r="J19" s="15">
        <f>IF(H19&gt;=0.05,"≈",IF((E19-F19)*D19&gt;0,"mejor","peor"))</f>
        <v/>
      </c>
    </row>
    <row r="20">
      <c r="A20" s="8" t="inlineStr">
        <is>
          <t>Propuesta</t>
        </is>
      </c>
      <c r="B20" s="9" t="inlineStr">
        <is>
          <t>DTCWT</t>
        </is>
      </c>
      <c r="C20" s="24" t="inlineStr">
        <is>
          <t>SD</t>
        </is>
      </c>
      <c r="D20" s="11" t="n">
        <v>1</v>
      </c>
      <c r="E20" s="12" t="n">
        <v>0.1439</v>
      </c>
      <c r="F20" s="12" t="n">
        <v>0.1172</v>
      </c>
      <c r="G20" s="26" t="n">
        <v>1.9073486328125e-06</v>
      </c>
      <c r="H20" s="26" t="n">
        <v>2.09808349609375e-05</v>
      </c>
      <c r="I20" s="20" t="n">
        <v>1</v>
      </c>
      <c r="J20" s="15">
        <f>IF(H20&gt;=0.05,"≈",IF((E20-F20)*D20&gt;0,"mejor","peor"))</f>
        <v/>
      </c>
    </row>
    <row r="21">
      <c r="A21" s="8" t="inlineStr">
        <is>
          <t>Propuesta</t>
        </is>
      </c>
      <c r="B21" s="9" t="inlineStr">
        <is>
          <t>DTCWT</t>
        </is>
      </c>
      <c r="C21" s="24" t="inlineStr">
        <is>
          <t>SF</t>
        </is>
      </c>
      <c r="D21" s="11" t="n">
        <v>1</v>
      </c>
      <c r="E21" s="12" t="n">
        <v>17.4425</v>
      </c>
      <c r="F21" s="12" t="n">
        <v>13.199</v>
      </c>
      <c r="G21" s="26" t="n">
        <v>1.9073486328125e-06</v>
      </c>
      <c r="H21" s="26" t="n">
        <v>2.09808349609375e-05</v>
      </c>
      <c r="I21" s="20" t="n">
        <v>1</v>
      </c>
      <c r="J21" s="15">
        <f>IF(H21&gt;=0.05,"≈",IF((E21-F21)*D21&gt;0,"mejor","peor"))</f>
        <v/>
      </c>
    </row>
    <row r="22">
      <c r="A22" s="8" t="inlineStr">
        <is>
          <t>Propuesta</t>
        </is>
      </c>
      <c r="B22" s="9" t="inlineStr">
        <is>
          <t>DTCWT</t>
        </is>
      </c>
      <c r="C22" s="24" t="inlineStr">
        <is>
          <t>SSIM</t>
        </is>
      </c>
      <c r="D22" s="11" t="n">
        <v>1</v>
      </c>
      <c r="E22" s="12" t="n">
        <v>0.6584</v>
      </c>
      <c r="F22" s="12" t="n">
        <v>0.7249</v>
      </c>
      <c r="G22" s="26" t="n">
        <v>1.9073486328125e-06</v>
      </c>
      <c r="H22" s="26" t="n">
        <v>2.09808349609375e-05</v>
      </c>
      <c r="I22" s="20" t="n">
        <v>-1</v>
      </c>
      <c r="J22" s="15">
        <f>IF(H22&gt;=0.05,"≈",IF((E22-F22)*D22&gt;0,"mejor","peor"))</f>
        <v/>
      </c>
    </row>
    <row r="23">
      <c r="A23" s="8" t="inlineStr">
        <is>
          <t>Propuesta</t>
        </is>
      </c>
      <c r="B23" s="9" t="inlineStr">
        <is>
          <t>DWT</t>
        </is>
      </c>
      <c r="C23" s="24" t="inlineStr">
        <is>
          <t>EN</t>
        </is>
      </c>
      <c r="D23" s="11" t="n">
        <v>1</v>
      </c>
      <c r="E23" s="12" t="n">
        <v>6.9855</v>
      </c>
      <c r="F23" s="12" t="n">
        <v>6.6816</v>
      </c>
      <c r="G23" s="26" t="n">
        <v>1.9073486328125e-06</v>
      </c>
      <c r="H23" s="26" t="n">
        <v>2.09808349609375e-05</v>
      </c>
      <c r="I23" s="20" t="n">
        <v>1</v>
      </c>
      <c r="J23" s="15">
        <f>IF(H23&gt;=0.05,"≈",IF((E23-F23)*D23&gt;0,"mejor","peor"))</f>
        <v/>
      </c>
    </row>
    <row r="24">
      <c r="A24" s="8" t="inlineStr">
        <is>
          <t>Propuesta</t>
        </is>
      </c>
      <c r="B24" s="9" t="inlineStr">
        <is>
          <t>DWT</t>
        </is>
      </c>
      <c r="C24" s="24" t="inlineStr">
        <is>
          <t>FE</t>
        </is>
      </c>
      <c r="D24" s="11" t="n">
        <v>1</v>
      </c>
      <c r="E24" s="12" t="n">
        <v>1.1047</v>
      </c>
      <c r="F24" s="12" t="n">
        <v>1.0566</v>
      </c>
      <c r="G24" s="26" t="n">
        <v>1.9073486328125e-06</v>
      </c>
      <c r="H24" s="26" t="n">
        <v>2.09808349609375e-05</v>
      </c>
      <c r="I24" s="20" t="n">
        <v>1</v>
      </c>
      <c r="J24" s="15">
        <f>IF(H24&gt;=0.05,"≈",IF((E24-F24)*D24&gt;0,"mejor","peor"))</f>
        <v/>
      </c>
    </row>
    <row r="25">
      <c r="A25" s="8" t="inlineStr">
        <is>
          <t>Propuesta</t>
        </is>
      </c>
      <c r="B25" s="9" t="inlineStr">
        <is>
          <t>DWT</t>
        </is>
      </c>
      <c r="C25" s="24" t="inlineStr">
        <is>
          <t>MG</t>
        </is>
      </c>
      <c r="D25" s="11" t="n">
        <v>1</v>
      </c>
      <c r="E25" s="12" t="n">
        <v>0.0355</v>
      </c>
      <c r="F25" s="12" t="n">
        <v>0.0275</v>
      </c>
      <c r="G25" s="26" t="n">
        <v>1.9073486328125e-06</v>
      </c>
      <c r="H25" s="26" t="n">
        <v>2.09808349609375e-05</v>
      </c>
      <c r="I25" s="20" t="n">
        <v>1</v>
      </c>
      <c r="J25" s="15">
        <f>IF(H25&gt;=0.05,"≈",IF((E25-F25)*D25&gt;0,"mejor","peor"))</f>
        <v/>
      </c>
    </row>
    <row r="26">
      <c r="A26" s="8" t="inlineStr">
        <is>
          <t>Propuesta</t>
        </is>
      </c>
      <c r="B26" s="9" t="inlineStr">
        <is>
          <t>DWT</t>
        </is>
      </c>
      <c r="C26" s="24" t="inlineStr">
        <is>
          <t>MI_ir</t>
        </is>
      </c>
      <c r="D26" s="11" t="n">
        <v>1</v>
      </c>
      <c r="E26" s="12" t="n">
        <v>0.6002999999999999</v>
      </c>
      <c r="F26" s="12" t="n">
        <v>0.6657999999999999</v>
      </c>
      <c r="G26" s="26" t="n">
        <v>0.0002098083496093</v>
      </c>
      <c r="H26" s="26" t="n">
        <v>0.0008392333984375</v>
      </c>
      <c r="I26" s="20" t="n">
        <v>-0.87</v>
      </c>
      <c r="J26" s="15">
        <f>IF(H26&gt;=0.05,"≈",IF((E26-F26)*D26&gt;0,"mejor","peor"))</f>
        <v/>
      </c>
    </row>
    <row r="27">
      <c r="A27" s="8" t="inlineStr">
        <is>
          <t>Propuesta</t>
        </is>
      </c>
      <c r="B27" s="9" t="inlineStr">
        <is>
          <t>DWT</t>
        </is>
      </c>
      <c r="C27" s="24" t="inlineStr">
        <is>
          <t>MI_vis</t>
        </is>
      </c>
      <c r="D27" s="11" t="n">
        <v>1</v>
      </c>
      <c r="E27" s="12" t="n">
        <v>0.897</v>
      </c>
      <c r="F27" s="12" t="n">
        <v>1.0764</v>
      </c>
      <c r="G27" s="26" t="n">
        <v>9.5367431640625e-06</v>
      </c>
      <c r="H27" s="26" t="n">
        <v>4.76837158203125e-05</v>
      </c>
      <c r="I27" s="20" t="n">
        <v>-0.97</v>
      </c>
      <c r="J27" s="15">
        <f>IF(H27&gt;=0.05,"≈",IF((E27-F27)*D27&gt;0,"mejor","peor"))</f>
        <v/>
      </c>
    </row>
    <row r="28">
      <c r="A28" s="8" t="inlineStr">
        <is>
          <t>Propuesta</t>
        </is>
      </c>
      <c r="B28" s="9" t="inlineStr">
        <is>
          <t>DWT</t>
        </is>
      </c>
      <c r="C28" s="24" t="inlineStr">
        <is>
          <t>PSNR</t>
        </is>
      </c>
      <c r="D28" s="11" t="n">
        <v>1</v>
      </c>
      <c r="E28" s="12" t="n">
        <v>16.8409</v>
      </c>
      <c r="F28" s="12" t="n">
        <v>17.5886</v>
      </c>
      <c r="G28" s="26" t="n">
        <v>1.9073486328125e-06</v>
      </c>
      <c r="H28" s="26" t="n">
        <v>2.09808349609375e-05</v>
      </c>
      <c r="I28" s="20" t="n">
        <v>-1</v>
      </c>
      <c r="J28" s="15">
        <f>IF(H28&gt;=0.05,"≈",IF((E28-F28)*D28&gt;0,"mejor","peor"))</f>
        <v/>
      </c>
    </row>
    <row r="29">
      <c r="A29" s="8" t="inlineStr">
        <is>
          <t>Propuesta</t>
        </is>
      </c>
      <c r="B29" s="9" t="inlineStr">
        <is>
          <t>DWT</t>
        </is>
      </c>
      <c r="C29" s="24" t="inlineStr">
        <is>
          <t>SD</t>
        </is>
      </c>
      <c r="D29" s="11" t="n">
        <v>1</v>
      </c>
      <c r="E29" s="12" t="n">
        <v>0.1439</v>
      </c>
      <c r="F29" s="12" t="n">
        <v>0.1166</v>
      </c>
      <c r="G29" s="26" t="n">
        <v>1.9073486328125e-06</v>
      </c>
      <c r="H29" s="26" t="n">
        <v>2.09808349609375e-05</v>
      </c>
      <c r="I29" s="20" t="n">
        <v>1</v>
      </c>
      <c r="J29" s="15">
        <f>IF(H29&gt;=0.05,"≈",IF((E29-F29)*D29&gt;0,"mejor","peor"))</f>
        <v/>
      </c>
    </row>
    <row r="30">
      <c r="A30" s="8" t="inlineStr">
        <is>
          <t>Propuesta</t>
        </is>
      </c>
      <c r="B30" s="9" t="inlineStr">
        <is>
          <t>DWT</t>
        </is>
      </c>
      <c r="C30" s="24" t="inlineStr">
        <is>
          <t>SF</t>
        </is>
      </c>
      <c r="D30" s="11" t="n">
        <v>1</v>
      </c>
      <c r="E30" s="12" t="n">
        <v>17.4425</v>
      </c>
      <c r="F30" s="12" t="n">
        <v>14.1888</v>
      </c>
      <c r="G30" s="26" t="n">
        <v>1.9073486328125e-06</v>
      </c>
      <c r="H30" s="26" t="n">
        <v>2.09808349609375e-05</v>
      </c>
      <c r="I30" s="20" t="n">
        <v>1</v>
      </c>
      <c r="J30" s="15">
        <f>IF(H30&gt;=0.05,"≈",IF((E30-F30)*D30&gt;0,"mejor","peor"))</f>
        <v/>
      </c>
    </row>
    <row r="31">
      <c r="A31" s="8" t="inlineStr">
        <is>
          <t>Propuesta</t>
        </is>
      </c>
      <c r="B31" s="9" t="inlineStr">
        <is>
          <t>DWT</t>
        </is>
      </c>
      <c r="C31" s="24" t="inlineStr">
        <is>
          <t>SSIM</t>
        </is>
      </c>
      <c r="D31" s="11" t="n">
        <v>1</v>
      </c>
      <c r="E31" s="12" t="n">
        <v>0.6584</v>
      </c>
      <c r="F31" s="12" t="n">
        <v>0.7014</v>
      </c>
      <c r="G31" s="26" t="n">
        <v>1.9073486328125e-06</v>
      </c>
      <c r="H31" s="26" t="n">
        <v>2.09808349609375e-05</v>
      </c>
      <c r="I31" s="20" t="n">
        <v>-1</v>
      </c>
      <c r="J31" s="15">
        <f>IF(H31&gt;=0.05,"≈",IF((E31-F31)*D31&gt;0,"mejor","peor"))</f>
        <v/>
      </c>
    </row>
    <row r="32">
      <c r="A32" s="8" t="inlineStr">
        <is>
          <t>Propuesta</t>
        </is>
      </c>
      <c r="B32" s="9" t="inlineStr">
        <is>
          <t>LP</t>
        </is>
      </c>
      <c r="C32" s="24" t="inlineStr">
        <is>
          <t>EN</t>
        </is>
      </c>
      <c r="D32" s="11" t="n">
        <v>1</v>
      </c>
      <c r="E32" s="12" t="n">
        <v>6.9855</v>
      </c>
      <c r="F32" s="12" t="n">
        <v>6.84</v>
      </c>
      <c r="G32" s="26" t="n">
        <v>0.0120792388916015</v>
      </c>
      <c r="H32" s="26" t="n">
        <v>0.0241584777832031</v>
      </c>
      <c r="I32" s="20" t="n">
        <v>0.63</v>
      </c>
      <c r="J32" s="15">
        <f>IF(H32&gt;=0.05,"≈",IF((E32-F32)*D32&gt;0,"mejor","peor"))</f>
        <v/>
      </c>
    </row>
    <row r="33">
      <c r="A33" s="8" t="inlineStr">
        <is>
          <t>Propuesta</t>
        </is>
      </c>
      <c r="B33" s="9" t="inlineStr">
        <is>
          <t>LP</t>
        </is>
      </c>
      <c r="C33" s="24" t="inlineStr">
        <is>
          <t>FE</t>
        </is>
      </c>
      <c r="D33" s="11" t="n">
        <v>1</v>
      </c>
      <c r="E33" s="12" t="n">
        <v>1.1047</v>
      </c>
      <c r="F33" s="12" t="n">
        <v>1.0806</v>
      </c>
      <c r="G33" s="26" t="n">
        <v>0.0120792388916015</v>
      </c>
      <c r="H33" s="26" t="n">
        <v>0.0241584777832031</v>
      </c>
      <c r="I33" s="20" t="n">
        <v>0.63</v>
      </c>
      <c r="J33" s="15">
        <f>IF(H33&gt;=0.05,"≈",IF((E33-F33)*D33&gt;0,"mejor","peor"))</f>
        <v/>
      </c>
    </row>
    <row r="34">
      <c r="A34" s="8" t="inlineStr">
        <is>
          <t>Propuesta</t>
        </is>
      </c>
      <c r="B34" s="9" t="inlineStr">
        <is>
          <t>LP</t>
        </is>
      </c>
      <c r="C34" s="24" t="inlineStr">
        <is>
          <t>MG</t>
        </is>
      </c>
      <c r="D34" s="11" t="n">
        <v>1</v>
      </c>
      <c r="E34" s="12" t="n">
        <v>0.0355</v>
      </c>
      <c r="F34" s="12" t="n">
        <v>0.0252</v>
      </c>
      <c r="G34" s="26" t="n">
        <v>1.9073486328125e-06</v>
      </c>
      <c r="H34" s="26" t="n">
        <v>2.09808349609375e-05</v>
      </c>
      <c r="I34" s="20" t="n">
        <v>1</v>
      </c>
      <c r="J34" s="15">
        <f>IF(H34&gt;=0.05,"≈",IF((E34-F34)*D34&gt;0,"mejor","peor"))</f>
        <v/>
      </c>
    </row>
    <row r="35">
      <c r="A35" s="8" t="inlineStr">
        <is>
          <t>Propuesta</t>
        </is>
      </c>
      <c r="B35" s="9" t="inlineStr">
        <is>
          <t>LP</t>
        </is>
      </c>
      <c r="C35" s="24" t="inlineStr">
        <is>
          <t>MI_ir</t>
        </is>
      </c>
      <c r="D35" s="11" t="n">
        <v>1</v>
      </c>
      <c r="E35" s="12" t="n">
        <v>0.6002999999999999</v>
      </c>
      <c r="F35" s="12" t="n">
        <v>0.9177999999999999</v>
      </c>
      <c r="G35" s="26" t="n">
        <v>0.0003223419189453</v>
      </c>
      <c r="H35" s="26" t="n">
        <v>0.0008392333984375</v>
      </c>
      <c r="I35" s="20" t="n">
        <v>-0.85</v>
      </c>
      <c r="J35" s="15">
        <f>IF(H35&gt;=0.05,"≈",IF((E35-F35)*D35&gt;0,"mejor","peor"))</f>
        <v/>
      </c>
    </row>
    <row r="36">
      <c r="A36" s="8" t="inlineStr">
        <is>
          <t>Propuesta</t>
        </is>
      </c>
      <c r="B36" s="9" t="inlineStr">
        <is>
          <t>LP</t>
        </is>
      </c>
      <c r="C36" s="24" t="inlineStr">
        <is>
          <t>MI_vis</t>
        </is>
      </c>
      <c r="D36" s="11" t="n">
        <v>1</v>
      </c>
      <c r="E36" s="12" t="n">
        <v>0.897</v>
      </c>
      <c r="F36" s="12" t="n">
        <v>1.9242</v>
      </c>
      <c r="G36" s="26" t="n">
        <v>2.6702880859375e-05</v>
      </c>
      <c r="H36" s="26" t="n">
        <v>8.0108642578125e-05</v>
      </c>
      <c r="I36" s="20" t="n">
        <v>-0.9399999999999999</v>
      </c>
      <c r="J36" s="15">
        <f>IF(H36&gt;=0.05,"≈",IF((E36-F36)*D36&gt;0,"mejor","peor"))</f>
        <v/>
      </c>
    </row>
    <row r="37">
      <c r="A37" s="8" t="inlineStr">
        <is>
          <t>Propuesta</t>
        </is>
      </c>
      <c r="B37" s="9" t="inlineStr">
        <is>
          <t>LP</t>
        </is>
      </c>
      <c r="C37" s="24" t="inlineStr">
        <is>
          <t>PSNR</t>
        </is>
      </c>
      <c r="D37" s="11" t="n">
        <v>1</v>
      </c>
      <c r="E37" s="12" t="n">
        <v>16.8409</v>
      </c>
      <c r="F37" s="12" t="n">
        <v>14.9401</v>
      </c>
      <c r="G37" s="26" t="n">
        <v>3.814697265625e-06</v>
      </c>
      <c r="H37" s="26" t="n">
        <v>2.09808349609375e-05</v>
      </c>
      <c r="I37" s="20" t="n">
        <v>0.99</v>
      </c>
      <c r="J37" s="15">
        <f>IF(H37&gt;=0.05,"≈",IF((E37-F37)*D37&gt;0,"mejor","peor"))</f>
        <v/>
      </c>
    </row>
    <row r="38">
      <c r="A38" s="8" t="inlineStr">
        <is>
          <t>Propuesta</t>
        </is>
      </c>
      <c r="B38" s="9" t="inlineStr">
        <is>
          <t>LP</t>
        </is>
      </c>
      <c r="C38" s="24" t="inlineStr">
        <is>
          <t>SD</t>
        </is>
      </c>
      <c r="D38" s="11" t="n">
        <v>1</v>
      </c>
      <c r="E38" s="12" t="n">
        <v>0.1439</v>
      </c>
      <c r="F38" s="12" t="n">
        <v>0.155</v>
      </c>
      <c r="G38" s="26" t="n">
        <v>0.2305126190185547</v>
      </c>
      <c r="H38" s="26" t="n">
        <v>0.2305126190185547</v>
      </c>
      <c r="I38" s="20" t="n">
        <v>-0.31</v>
      </c>
      <c r="J38" s="15">
        <f>IF(H38&gt;=0.05,"≈",IF((E38-F38)*D38&gt;0,"mejor","peor"))</f>
        <v/>
      </c>
    </row>
    <row r="39">
      <c r="A39" s="8" t="inlineStr">
        <is>
          <t>Propuesta</t>
        </is>
      </c>
      <c r="B39" s="9" t="inlineStr">
        <is>
          <t>LP</t>
        </is>
      </c>
      <c r="C39" s="24" t="inlineStr">
        <is>
          <t>SF</t>
        </is>
      </c>
      <c r="D39" s="11" t="n">
        <v>1</v>
      </c>
      <c r="E39" s="12" t="n">
        <v>17.4425</v>
      </c>
      <c r="F39" s="12" t="n">
        <v>13.2205</v>
      </c>
      <c r="G39" s="26" t="n">
        <v>1.9073486328125e-06</v>
      </c>
      <c r="H39" s="26" t="n">
        <v>2.09808349609375e-05</v>
      </c>
      <c r="I39" s="20" t="n">
        <v>1</v>
      </c>
      <c r="J39" s="15">
        <f>IF(H39&gt;=0.05,"≈",IF((E39-F39)*D39&gt;0,"mejor","peor"))</f>
        <v/>
      </c>
    </row>
    <row r="40">
      <c r="A40" s="8" t="inlineStr">
        <is>
          <t>Propuesta</t>
        </is>
      </c>
      <c r="B40" s="9" t="inlineStr">
        <is>
          <t>LP</t>
        </is>
      </c>
      <c r="C40" s="24" t="inlineStr">
        <is>
          <t>SSIM</t>
        </is>
      </c>
      <c r="D40" s="11" t="n">
        <v>1</v>
      </c>
      <c r="E40" s="12" t="n">
        <v>0.6584</v>
      </c>
      <c r="F40" s="12" t="n">
        <v>0.7059</v>
      </c>
      <c r="G40" s="26" t="n">
        <v>1.9073486328125e-06</v>
      </c>
      <c r="H40" s="26" t="n">
        <v>2.09808349609375e-05</v>
      </c>
      <c r="I40" s="20" t="n">
        <v>-1</v>
      </c>
      <c r="J40" s="15">
        <f>IF(H40&gt;=0.05,"≈",IF((E40-F40)*D40&gt;0,"mejor","peor"))</f>
        <v/>
      </c>
    </row>
    <row r="41">
      <c r="A41" s="8" t="inlineStr">
        <is>
          <t>Propuesta</t>
        </is>
      </c>
      <c r="B41" s="9" t="inlineStr">
        <is>
          <t>RP</t>
        </is>
      </c>
      <c r="C41" s="24" t="inlineStr">
        <is>
          <t>EN</t>
        </is>
      </c>
      <c r="D41" s="11" t="n">
        <v>1</v>
      </c>
      <c r="E41" s="12" t="n">
        <v>6.9855</v>
      </c>
      <c r="F41" s="12" t="n">
        <v>6.8098</v>
      </c>
      <c r="G41" s="26" t="n">
        <v>9.5367431640625e-06</v>
      </c>
      <c r="H41" s="26" t="n">
        <v>4.76837158203125e-05</v>
      </c>
      <c r="I41" s="20" t="n">
        <v>0.97</v>
      </c>
      <c r="J41" s="15">
        <f>IF(H41&gt;=0.05,"≈",IF((E41-F41)*D41&gt;0,"mejor","peor"))</f>
        <v/>
      </c>
    </row>
    <row r="42">
      <c r="A42" s="8" t="inlineStr">
        <is>
          <t>Propuesta</t>
        </is>
      </c>
      <c r="B42" s="9" t="inlineStr">
        <is>
          <t>RP</t>
        </is>
      </c>
      <c r="C42" s="24" t="inlineStr">
        <is>
          <t>FE</t>
        </is>
      </c>
      <c r="D42" s="11" t="n">
        <v>1</v>
      </c>
      <c r="E42" s="12" t="n">
        <v>1.1047</v>
      </c>
      <c r="F42" s="12" t="n">
        <v>1.077</v>
      </c>
      <c r="G42" s="26" t="n">
        <v>9.5367431640625e-06</v>
      </c>
      <c r="H42" s="26" t="n">
        <v>4.76837158203125e-05</v>
      </c>
      <c r="I42" s="20" t="n">
        <v>0.97</v>
      </c>
      <c r="J42" s="15">
        <f>IF(H42&gt;=0.05,"≈",IF((E42-F42)*D42&gt;0,"mejor","peor"))</f>
        <v/>
      </c>
    </row>
    <row r="43">
      <c r="A43" s="8" t="inlineStr">
        <is>
          <t>Propuesta</t>
        </is>
      </c>
      <c r="B43" s="9" t="inlineStr">
        <is>
          <t>RP</t>
        </is>
      </c>
      <c r="C43" s="24" t="inlineStr">
        <is>
          <t>MG</t>
        </is>
      </c>
      <c r="D43" s="11" t="n">
        <v>1</v>
      </c>
      <c r="E43" s="12" t="n">
        <v>0.0355</v>
      </c>
      <c r="F43" s="12" t="n">
        <v>0.0275</v>
      </c>
      <c r="G43" s="26" t="n">
        <v>1.9073486328125e-06</v>
      </c>
      <c r="H43" s="26" t="n">
        <v>2.09808349609375e-05</v>
      </c>
      <c r="I43" s="20" t="n">
        <v>1</v>
      </c>
      <c r="J43" s="15">
        <f>IF(H43&gt;=0.05,"≈",IF((E43-F43)*D43&gt;0,"mejor","peor"))</f>
        <v/>
      </c>
    </row>
    <row r="44">
      <c r="A44" s="8" t="inlineStr">
        <is>
          <t>Propuesta</t>
        </is>
      </c>
      <c r="B44" s="9" t="inlineStr">
        <is>
          <t>RP</t>
        </is>
      </c>
      <c r="C44" s="24" t="inlineStr">
        <is>
          <t>MI_ir</t>
        </is>
      </c>
      <c r="D44" s="11" t="n">
        <v>1</v>
      </c>
      <c r="E44" s="12" t="n">
        <v>0.6002999999999999</v>
      </c>
      <c r="F44" s="12" t="n">
        <v>0.6504</v>
      </c>
      <c r="G44" s="26" t="n">
        <v>0.1230926513671875</v>
      </c>
      <c r="H44" s="26" t="n">
        <v>0.1230926513671875</v>
      </c>
      <c r="I44" s="20" t="n">
        <v>-0.4</v>
      </c>
      <c r="J44" s="15">
        <f>IF(H44&gt;=0.05,"≈",IF((E44-F44)*D44&gt;0,"mejor","peor"))</f>
        <v/>
      </c>
    </row>
    <row r="45">
      <c r="A45" s="8" t="inlineStr">
        <is>
          <t>Propuesta</t>
        </is>
      </c>
      <c r="B45" s="9" t="inlineStr">
        <is>
          <t>RP</t>
        </is>
      </c>
      <c r="C45" s="24" t="inlineStr">
        <is>
          <t>MI_vis</t>
        </is>
      </c>
      <c r="D45" s="11" t="n">
        <v>1</v>
      </c>
      <c r="E45" s="12" t="n">
        <v>0.897</v>
      </c>
      <c r="F45" s="12" t="n">
        <v>0.9485</v>
      </c>
      <c r="G45" s="26" t="n">
        <v>0.2161674499511718</v>
      </c>
      <c r="H45" s="26" t="n">
        <v>0.2161674499511718</v>
      </c>
      <c r="I45" s="20" t="n">
        <v>-0.32</v>
      </c>
      <c r="J45" s="15">
        <f>IF(H45&gt;=0.05,"≈",IF((E45-F45)*D45&gt;0,"mejor","peor"))</f>
        <v/>
      </c>
    </row>
    <row r="46">
      <c r="A46" s="8" t="inlineStr">
        <is>
          <t>Propuesta</t>
        </is>
      </c>
      <c r="B46" s="9" t="inlineStr">
        <is>
          <t>RP</t>
        </is>
      </c>
      <c r="C46" s="24" t="inlineStr">
        <is>
          <t>PSNR</t>
        </is>
      </c>
      <c r="D46" s="11" t="n">
        <v>1</v>
      </c>
      <c r="E46" s="12" t="n">
        <v>16.8409</v>
      </c>
      <c r="F46" s="12" t="n">
        <v>17.3689</v>
      </c>
      <c r="G46" s="26" t="n">
        <v>0.0002098083496093</v>
      </c>
      <c r="H46" s="26" t="n">
        <v>0.0006294250488281</v>
      </c>
      <c r="I46" s="20" t="n">
        <v>-0.87</v>
      </c>
      <c r="J46" s="15">
        <f>IF(H46&gt;=0.05,"≈",IF((E46-F46)*D46&gt;0,"mejor","peor"))</f>
        <v/>
      </c>
    </row>
    <row r="47">
      <c r="A47" s="8" t="inlineStr">
        <is>
          <t>Propuesta</t>
        </is>
      </c>
      <c r="B47" s="9" t="inlineStr">
        <is>
          <t>RP</t>
        </is>
      </c>
      <c r="C47" s="24" t="inlineStr">
        <is>
          <t>SD</t>
        </is>
      </c>
      <c r="D47" s="11" t="n">
        <v>1</v>
      </c>
      <c r="E47" s="12" t="n">
        <v>0.1439</v>
      </c>
      <c r="F47" s="12" t="n">
        <v>0.1271</v>
      </c>
      <c r="G47" s="26" t="n">
        <v>1.9073486328125e-05</v>
      </c>
      <c r="H47" s="26" t="n">
        <v>7.62939453125e-05</v>
      </c>
      <c r="I47" s="20" t="n">
        <v>0.95</v>
      </c>
      <c r="J47" s="15">
        <f>IF(H47&gt;=0.05,"≈",IF((E47-F47)*D47&gt;0,"mejor","peor"))</f>
        <v/>
      </c>
    </row>
    <row r="48">
      <c r="A48" s="8" t="inlineStr">
        <is>
          <t>Propuesta</t>
        </is>
      </c>
      <c r="B48" s="9" t="inlineStr">
        <is>
          <t>RP</t>
        </is>
      </c>
      <c r="C48" s="24" t="inlineStr">
        <is>
          <t>SF</t>
        </is>
      </c>
      <c r="D48" s="11" t="n">
        <v>1</v>
      </c>
      <c r="E48" s="12" t="n">
        <v>17.4425</v>
      </c>
      <c r="F48" s="12" t="n">
        <v>13.6209</v>
      </c>
      <c r="G48" s="26" t="n">
        <v>1.9073486328125e-06</v>
      </c>
      <c r="H48" s="26" t="n">
        <v>2.09808349609375e-05</v>
      </c>
      <c r="I48" s="20" t="n">
        <v>1</v>
      </c>
      <c r="J48" s="15">
        <f>IF(H48&gt;=0.05,"≈",IF((E48-F48)*D48&gt;0,"mejor","peor"))</f>
        <v/>
      </c>
    </row>
    <row r="49">
      <c r="A49" s="8" t="inlineStr">
        <is>
          <t>Propuesta</t>
        </is>
      </c>
      <c r="B49" s="9" t="inlineStr">
        <is>
          <t>RP</t>
        </is>
      </c>
      <c r="C49" s="24" t="inlineStr">
        <is>
          <t>SSIM</t>
        </is>
      </c>
      <c r="D49" s="11" t="n">
        <v>1</v>
      </c>
      <c r="E49" s="12" t="n">
        <v>0.6584</v>
      </c>
      <c r="F49" s="12" t="n">
        <v>0.7050999999999999</v>
      </c>
      <c r="G49" s="26" t="n">
        <v>0.0001049041748046</v>
      </c>
      <c r="H49" s="26" t="n">
        <v>0.0001049041748046</v>
      </c>
      <c r="I49" s="20" t="n">
        <v>-0.9</v>
      </c>
      <c r="J49" s="15">
        <f>IF(H49&gt;=0.05,"≈",IF((E49-F49)*D49&gt;0,"mejor","peor"))</f>
        <v/>
      </c>
    </row>
    <row r="50">
      <c r="A50" s="8" t="inlineStr">
        <is>
          <t>Propuesta</t>
        </is>
      </c>
      <c r="B50" s="9" t="inlineStr">
        <is>
          <t>Top-Hat clásico</t>
        </is>
      </c>
      <c r="C50" s="24" t="inlineStr">
        <is>
          <t>EN</t>
        </is>
      </c>
      <c r="D50" s="11" t="n">
        <v>1</v>
      </c>
      <c r="E50" s="12" t="n">
        <v>6.9855</v>
      </c>
      <c r="F50" s="12" t="n">
        <v>6.922</v>
      </c>
      <c r="G50" s="26" t="n">
        <v>4.76837158203125e-05</v>
      </c>
      <c r="H50" s="26" t="n">
        <v>0.0001907348632812</v>
      </c>
      <c r="I50" s="20" t="n">
        <v>0.92</v>
      </c>
      <c r="J50" s="15">
        <f>IF(H50&gt;=0.05,"≈",IF((E50-F50)*D50&gt;0,"mejor","peor"))</f>
        <v/>
      </c>
    </row>
    <row r="51">
      <c r="A51" s="8" t="inlineStr">
        <is>
          <t>Propuesta</t>
        </is>
      </c>
      <c r="B51" s="9" t="inlineStr">
        <is>
          <t>Top-Hat clásico</t>
        </is>
      </c>
      <c r="C51" s="24" t="inlineStr">
        <is>
          <t>FE</t>
        </is>
      </c>
      <c r="D51" s="11" t="n">
        <v>1</v>
      </c>
      <c r="E51" s="12" t="n">
        <v>1.1047</v>
      </c>
      <c r="F51" s="12" t="n">
        <v>1.0952</v>
      </c>
      <c r="G51" s="26" t="n">
        <v>4.76837158203125e-05</v>
      </c>
      <c r="H51" s="26" t="n">
        <v>0.0001907348632812</v>
      </c>
      <c r="I51" s="20" t="n">
        <v>0.92</v>
      </c>
      <c r="J51" s="15">
        <f>IF(H51&gt;=0.05,"≈",IF((E51-F51)*D51&gt;0,"mejor","peor"))</f>
        <v/>
      </c>
    </row>
    <row r="52">
      <c r="A52" s="8" t="inlineStr">
        <is>
          <t>Propuesta</t>
        </is>
      </c>
      <c r="B52" s="9" t="inlineStr">
        <is>
          <t>Top-Hat clásico</t>
        </is>
      </c>
      <c r="C52" s="24" t="inlineStr">
        <is>
          <t>MG</t>
        </is>
      </c>
      <c r="D52" s="11" t="n">
        <v>1</v>
      </c>
      <c r="E52" s="12" t="n">
        <v>0.0355</v>
      </c>
      <c r="F52" s="12" t="n">
        <v>0.0478</v>
      </c>
      <c r="G52" s="26" t="n">
        <v>1.9073486328125e-06</v>
      </c>
      <c r="H52" s="26" t="n">
        <v>2.09808349609375e-05</v>
      </c>
      <c r="I52" s="20" t="n">
        <v>-1</v>
      </c>
      <c r="J52" s="15">
        <f>IF(H52&gt;=0.05,"≈",IF((E52-F52)*D52&gt;0,"mejor","peor"))</f>
        <v/>
      </c>
    </row>
    <row r="53">
      <c r="A53" s="8" t="inlineStr">
        <is>
          <t>Propuesta</t>
        </is>
      </c>
      <c r="B53" s="9" t="inlineStr">
        <is>
          <t>Top-Hat clásico</t>
        </is>
      </c>
      <c r="C53" s="24" t="inlineStr">
        <is>
          <t>MI_ir</t>
        </is>
      </c>
      <c r="D53" s="11" t="n">
        <v>1</v>
      </c>
      <c r="E53" s="12" t="n">
        <v>0.6002999999999999</v>
      </c>
      <c r="F53" s="12" t="n">
        <v>0.4928</v>
      </c>
      <c r="G53" s="26" t="n">
        <v>9.5367431640625e-06</v>
      </c>
      <c r="H53" s="26" t="n">
        <v>7.62939453125e-05</v>
      </c>
      <c r="I53" s="20" t="n">
        <v>0.97</v>
      </c>
      <c r="J53" s="15">
        <f>IF(H53&gt;=0.05,"≈",IF((E53-F53)*D53&gt;0,"mejor","peor"))</f>
        <v/>
      </c>
    </row>
    <row r="54">
      <c r="A54" s="8" t="inlineStr">
        <is>
          <t>Propuesta</t>
        </is>
      </c>
      <c r="B54" s="9" t="inlineStr">
        <is>
          <t>Top-Hat clásico</t>
        </is>
      </c>
      <c r="C54" s="24" t="inlineStr">
        <is>
          <t>MI_vis</t>
        </is>
      </c>
      <c r="D54" s="11" t="n">
        <v>1</v>
      </c>
      <c r="E54" s="12" t="n">
        <v>0.897</v>
      </c>
      <c r="F54" s="12" t="n">
        <v>0.7867</v>
      </c>
      <c r="G54" s="26" t="n">
        <v>3.814697265625e-06</v>
      </c>
      <c r="H54" s="26" t="n">
        <v>3.0517578125e-05</v>
      </c>
      <c r="I54" s="20" t="n">
        <v>0.99</v>
      </c>
      <c r="J54" s="15">
        <f>IF(H54&gt;=0.05,"≈",IF((E54-F54)*D54&gt;0,"mejor","peor"))</f>
        <v/>
      </c>
    </row>
    <row r="55">
      <c r="A55" s="8" t="inlineStr">
        <is>
          <t>Propuesta</t>
        </is>
      </c>
      <c r="B55" s="9" t="inlineStr">
        <is>
          <t>Top-Hat clásico</t>
        </is>
      </c>
      <c r="C55" s="24" t="inlineStr">
        <is>
          <t>PSNR</t>
        </is>
      </c>
      <c r="D55" s="11" t="n">
        <v>1</v>
      </c>
      <c r="E55" s="12" t="n">
        <v>16.8409</v>
      </c>
      <c r="F55" s="12" t="n">
        <v>16.8728</v>
      </c>
      <c r="G55" s="26" t="n">
        <v>0.6742229461669922</v>
      </c>
      <c r="H55" s="26" t="n">
        <v>0.6742229461669922</v>
      </c>
      <c r="I55" s="20" t="n">
        <v>-0.11</v>
      </c>
      <c r="J55" s="15">
        <f>IF(H55&gt;=0.05,"≈",IF((E55-F55)*D55&gt;0,"mejor","peor"))</f>
        <v/>
      </c>
    </row>
    <row r="56">
      <c r="A56" s="8" t="inlineStr">
        <is>
          <t>Propuesta</t>
        </is>
      </c>
      <c r="B56" s="9" t="inlineStr">
        <is>
          <t>Top-Hat clásico</t>
        </is>
      </c>
      <c r="C56" s="24" t="inlineStr">
        <is>
          <t>SD</t>
        </is>
      </c>
      <c r="D56" s="11" t="n">
        <v>1</v>
      </c>
      <c r="E56" s="12" t="n">
        <v>0.1439</v>
      </c>
      <c r="F56" s="12" t="n">
        <v>0.1352</v>
      </c>
      <c r="G56" s="26" t="n">
        <v>3.814697265625e-06</v>
      </c>
      <c r="H56" s="26" t="n">
        <v>2.09808349609375e-05</v>
      </c>
      <c r="I56" s="20" t="n">
        <v>0.99</v>
      </c>
      <c r="J56" s="15">
        <f>IF(H56&gt;=0.05,"≈",IF((E56-F56)*D56&gt;0,"mejor","peor"))</f>
        <v/>
      </c>
    </row>
    <row r="57">
      <c r="A57" s="8" t="inlineStr">
        <is>
          <t>Propuesta</t>
        </is>
      </c>
      <c r="B57" s="9" t="inlineStr">
        <is>
          <t>Top-Hat clásico</t>
        </is>
      </c>
      <c r="C57" s="24" t="inlineStr">
        <is>
          <t>SF</t>
        </is>
      </c>
      <c r="D57" s="11" t="n">
        <v>1</v>
      </c>
      <c r="E57" s="12" t="n">
        <v>17.4425</v>
      </c>
      <c r="F57" s="12" t="n">
        <v>23.1</v>
      </c>
      <c r="G57" s="26" t="n">
        <v>1.9073486328125e-06</v>
      </c>
      <c r="H57" s="26" t="n">
        <v>2.09808349609375e-05</v>
      </c>
      <c r="I57" s="20" t="n">
        <v>-1</v>
      </c>
      <c r="J57" s="15">
        <f>IF(H57&gt;=0.05,"≈",IF((E57-F57)*D57&gt;0,"mejor","peor"))</f>
        <v/>
      </c>
    </row>
    <row r="58">
      <c r="A58" s="8" t="inlineStr">
        <is>
          <t>Propuesta</t>
        </is>
      </c>
      <c r="B58" s="9" t="inlineStr">
        <is>
          <t>Top-Hat clásico</t>
        </is>
      </c>
      <c r="C58" s="24" t="inlineStr">
        <is>
          <t>SSIM</t>
        </is>
      </c>
      <c r="D58" s="11" t="n">
        <v>1</v>
      </c>
      <c r="E58" s="12" t="n">
        <v>0.6584</v>
      </c>
      <c r="F58" s="12" t="n">
        <v>0.5639999999999999</v>
      </c>
      <c r="G58" s="26" t="n">
        <v>1.9073486328125e-06</v>
      </c>
      <c r="H58" s="26" t="n">
        <v>2.09808349609375e-05</v>
      </c>
      <c r="I58" s="20" t="n">
        <v>1</v>
      </c>
      <c r="J58" s="15">
        <f>IF(H58&gt;=0.05,"≈",IF((E58-F58)*D58&gt;0,"mejor","peor"))</f>
        <v/>
      </c>
    </row>
    <row r="59">
      <c r="A59" s="9" t="inlineStr">
        <is>
          <t>Top-Hat clásico</t>
        </is>
      </c>
      <c r="B59" s="9" t="inlineStr">
        <is>
          <t>CVT</t>
        </is>
      </c>
      <c r="C59" s="24" t="inlineStr">
        <is>
          <t>EN</t>
        </is>
      </c>
      <c r="D59" s="11" t="n">
        <v>1</v>
      </c>
      <c r="E59" s="12" t="n">
        <v>6.922</v>
      </c>
      <c r="F59" s="12" t="n">
        <v>6.6445</v>
      </c>
      <c r="G59" s="26" t="n">
        <v>1.9073486328125e-06</v>
      </c>
      <c r="H59" s="26" t="n">
        <v>2.09808349609375e-05</v>
      </c>
      <c r="I59" s="20" t="n">
        <v>1</v>
      </c>
      <c r="J59" s="15">
        <f>IF(H59&gt;=0.05,"≈",IF((E59-F59)*D59&gt;0,"mejor","peor"))</f>
        <v/>
      </c>
    </row>
    <row r="60">
      <c r="A60" s="9" t="inlineStr">
        <is>
          <t>Top-Hat clásico</t>
        </is>
      </c>
      <c r="B60" s="9" t="inlineStr">
        <is>
          <t>CVT</t>
        </is>
      </c>
      <c r="C60" s="24" t="inlineStr">
        <is>
          <t>FE</t>
        </is>
      </c>
      <c r="D60" s="11" t="n">
        <v>1</v>
      </c>
      <c r="E60" s="12" t="n">
        <v>1.0952</v>
      </c>
      <c r="F60" s="12" t="n">
        <v>1.0507</v>
      </c>
      <c r="G60" s="26" t="n">
        <v>1.9073486328125e-06</v>
      </c>
      <c r="H60" s="26" t="n">
        <v>2.09808349609375e-05</v>
      </c>
      <c r="I60" s="20" t="n">
        <v>1</v>
      </c>
      <c r="J60" s="15">
        <f>IF(H60&gt;=0.05,"≈",IF((E60-F60)*D60&gt;0,"mejor","peor"))</f>
        <v/>
      </c>
    </row>
    <row r="61">
      <c r="A61" s="9" t="inlineStr">
        <is>
          <t>Top-Hat clásico</t>
        </is>
      </c>
      <c r="B61" s="9" t="inlineStr">
        <is>
          <t>CVT</t>
        </is>
      </c>
      <c r="C61" s="24" t="inlineStr">
        <is>
          <t>MG</t>
        </is>
      </c>
      <c r="D61" s="11" t="n">
        <v>1</v>
      </c>
      <c r="E61" s="12" t="n">
        <v>0.0478</v>
      </c>
      <c r="F61" s="12" t="n">
        <v>0.026</v>
      </c>
      <c r="G61" s="26" t="n">
        <v>1.9073486328125e-06</v>
      </c>
      <c r="H61" s="26" t="n">
        <v>2.09808349609375e-05</v>
      </c>
      <c r="I61" s="20" t="n">
        <v>1</v>
      </c>
      <c r="J61" s="15">
        <f>IF(H61&gt;=0.05,"≈",IF((E61-F61)*D61&gt;0,"mejor","peor"))</f>
        <v/>
      </c>
    </row>
    <row r="62">
      <c r="A62" s="9" t="inlineStr">
        <is>
          <t>Top-Hat clásico</t>
        </is>
      </c>
      <c r="B62" s="9" t="inlineStr">
        <is>
          <t>CVT</t>
        </is>
      </c>
      <c r="C62" s="24" t="inlineStr">
        <is>
          <t>MI_ir</t>
        </is>
      </c>
      <c r="D62" s="11" t="n">
        <v>1</v>
      </c>
      <c r="E62" s="12" t="n">
        <v>0.4928</v>
      </c>
      <c r="F62" s="12" t="n">
        <v>0.6695</v>
      </c>
      <c r="G62" s="26" t="n">
        <v>1.9073486328125e-06</v>
      </c>
      <c r="H62" s="26" t="n">
        <v>2.09808349609375e-05</v>
      </c>
      <c r="I62" s="20" t="n">
        <v>-1</v>
      </c>
      <c r="J62" s="15">
        <f>IF(H62&gt;=0.05,"≈",IF((E62-F62)*D62&gt;0,"mejor","peor"))</f>
        <v/>
      </c>
    </row>
    <row r="63">
      <c r="A63" s="9" t="inlineStr">
        <is>
          <t>Top-Hat clásico</t>
        </is>
      </c>
      <c r="B63" s="9" t="inlineStr">
        <is>
          <t>CVT</t>
        </is>
      </c>
      <c r="C63" s="24" t="inlineStr">
        <is>
          <t>MI_vis</t>
        </is>
      </c>
      <c r="D63" s="11" t="n">
        <v>1</v>
      </c>
      <c r="E63" s="12" t="n">
        <v>0.7867</v>
      </c>
      <c r="F63" s="12" t="n">
        <v>1.0961</v>
      </c>
      <c r="G63" s="26" t="n">
        <v>1.9073486328125e-06</v>
      </c>
      <c r="H63" s="26" t="n">
        <v>2.09808349609375e-05</v>
      </c>
      <c r="I63" s="20" t="n">
        <v>-1</v>
      </c>
      <c r="J63" s="15">
        <f>IF(H63&gt;=0.05,"≈",IF((E63-F63)*D63&gt;0,"mejor","peor"))</f>
        <v/>
      </c>
    </row>
    <row r="64">
      <c r="A64" s="9" t="inlineStr">
        <is>
          <t>Top-Hat clásico</t>
        </is>
      </c>
      <c r="B64" s="9" t="inlineStr">
        <is>
          <t>CVT</t>
        </is>
      </c>
      <c r="C64" s="24" t="inlineStr">
        <is>
          <t>PSNR</t>
        </is>
      </c>
      <c r="D64" s="11" t="n">
        <v>1</v>
      </c>
      <c r="E64" s="12" t="n">
        <v>16.8728</v>
      </c>
      <c r="F64" s="12" t="n">
        <v>17.6523</v>
      </c>
      <c r="G64" s="26" t="n">
        <v>1.9073486328125e-06</v>
      </c>
      <c r="H64" s="26" t="n">
        <v>2.09808349609375e-05</v>
      </c>
      <c r="I64" s="20" t="n">
        <v>-1</v>
      </c>
      <c r="J64" s="15">
        <f>IF(H64&gt;=0.05,"≈",IF((E64-F64)*D64&gt;0,"mejor","peor"))</f>
        <v/>
      </c>
    </row>
    <row r="65">
      <c r="A65" s="9" t="inlineStr">
        <is>
          <t>Top-Hat clásico</t>
        </is>
      </c>
      <c r="B65" s="9" t="inlineStr">
        <is>
          <t>CVT</t>
        </is>
      </c>
      <c r="C65" s="24" t="inlineStr">
        <is>
          <t>SD</t>
        </is>
      </c>
      <c r="D65" s="11" t="n">
        <v>1</v>
      </c>
      <c r="E65" s="12" t="n">
        <v>0.1352</v>
      </c>
      <c r="F65" s="12" t="n">
        <v>0.1132</v>
      </c>
      <c r="G65" s="26" t="n">
        <v>1.9073486328125e-06</v>
      </c>
      <c r="H65" s="26" t="n">
        <v>2.09808349609375e-05</v>
      </c>
      <c r="I65" s="20" t="n">
        <v>1</v>
      </c>
      <c r="J65" s="15">
        <f>IF(H65&gt;=0.05,"≈",IF((E65-F65)*D65&gt;0,"mejor","peor"))</f>
        <v/>
      </c>
    </row>
    <row r="66">
      <c r="A66" s="9" t="inlineStr">
        <is>
          <t>Top-Hat clásico</t>
        </is>
      </c>
      <c r="B66" s="9" t="inlineStr">
        <is>
          <t>CVT</t>
        </is>
      </c>
      <c r="C66" s="24" t="inlineStr">
        <is>
          <t>SF</t>
        </is>
      </c>
      <c r="D66" s="11" t="n">
        <v>1</v>
      </c>
      <c r="E66" s="12" t="n">
        <v>23.1</v>
      </c>
      <c r="F66" s="12" t="n">
        <v>13.3379</v>
      </c>
      <c r="G66" s="26" t="n">
        <v>1.9073486328125e-06</v>
      </c>
      <c r="H66" s="26" t="n">
        <v>2.09808349609375e-05</v>
      </c>
      <c r="I66" s="20" t="n">
        <v>1</v>
      </c>
      <c r="J66" s="15">
        <f>IF(H66&gt;=0.05,"≈",IF((E66-F66)*D66&gt;0,"mejor","peor"))</f>
        <v/>
      </c>
    </row>
    <row r="67">
      <c r="A67" s="9" t="inlineStr">
        <is>
          <t>Top-Hat clásico</t>
        </is>
      </c>
      <c r="B67" s="9" t="inlineStr">
        <is>
          <t>CVT</t>
        </is>
      </c>
      <c r="C67" s="24" t="inlineStr">
        <is>
          <t>SSIM</t>
        </is>
      </c>
      <c r="D67" s="11" t="n">
        <v>1</v>
      </c>
      <c r="E67" s="12" t="n">
        <v>0.5639999999999999</v>
      </c>
      <c r="F67" s="12" t="n">
        <v>0.7161999999999999</v>
      </c>
      <c r="G67" s="26" t="n">
        <v>1.9073486328125e-06</v>
      </c>
      <c r="H67" s="26" t="n">
        <v>2.09808349609375e-05</v>
      </c>
      <c r="I67" s="20" t="n">
        <v>-1</v>
      </c>
      <c r="J67" s="15">
        <f>IF(H67&gt;=0.05,"≈",IF((E67-F67)*D67&gt;0,"mejor","peor"))</f>
        <v/>
      </c>
    </row>
    <row r="68">
      <c r="A68" s="9" t="inlineStr">
        <is>
          <t>Top-Hat clásico</t>
        </is>
      </c>
      <c r="B68" s="9" t="inlineStr">
        <is>
          <t>DTCWT</t>
        </is>
      </c>
      <c r="C68" s="24" t="inlineStr">
        <is>
          <t>EN</t>
        </is>
      </c>
      <c r="D68" s="11" t="n">
        <v>1</v>
      </c>
      <c r="E68" s="12" t="n">
        <v>6.922</v>
      </c>
      <c r="F68" s="12" t="n">
        <v>6.6877</v>
      </c>
      <c r="G68" s="26" t="n">
        <v>1.9073486328125e-06</v>
      </c>
      <c r="H68" s="26" t="n">
        <v>2.09808349609375e-05</v>
      </c>
      <c r="I68" s="20" t="n">
        <v>1</v>
      </c>
      <c r="J68" s="15">
        <f>IF(H68&gt;=0.05,"≈",IF((E68-F68)*D68&gt;0,"mejor","peor"))</f>
        <v/>
      </c>
    </row>
    <row r="69">
      <c r="A69" s="9" t="inlineStr">
        <is>
          <t>Top-Hat clásico</t>
        </is>
      </c>
      <c r="B69" s="9" t="inlineStr">
        <is>
          <t>DTCWT</t>
        </is>
      </c>
      <c r="C69" s="24" t="inlineStr">
        <is>
          <t>FE</t>
        </is>
      </c>
      <c r="D69" s="11" t="n">
        <v>1</v>
      </c>
      <c r="E69" s="12" t="n">
        <v>1.0952</v>
      </c>
      <c r="F69" s="12" t="n">
        <v>1.0577</v>
      </c>
      <c r="G69" s="26" t="n">
        <v>1.9073486328125e-06</v>
      </c>
      <c r="H69" s="26" t="n">
        <v>2.09808349609375e-05</v>
      </c>
      <c r="I69" s="20" t="n">
        <v>1</v>
      </c>
      <c r="J69" s="15">
        <f>IF(H69&gt;=0.05,"≈",IF((E69-F69)*D69&gt;0,"mejor","peor"))</f>
        <v/>
      </c>
    </row>
    <row r="70">
      <c r="A70" s="9" t="inlineStr">
        <is>
          <t>Top-Hat clásico</t>
        </is>
      </c>
      <c r="B70" s="9" t="inlineStr">
        <is>
          <t>DTCWT</t>
        </is>
      </c>
      <c r="C70" s="24" t="inlineStr">
        <is>
          <t>MG</t>
        </is>
      </c>
      <c r="D70" s="11" t="n">
        <v>1</v>
      </c>
      <c r="E70" s="12" t="n">
        <v>0.0478</v>
      </c>
      <c r="F70" s="12" t="n">
        <v>0.0255</v>
      </c>
      <c r="G70" s="26" t="n">
        <v>1.9073486328125e-06</v>
      </c>
      <c r="H70" s="26" t="n">
        <v>2.09808349609375e-05</v>
      </c>
      <c r="I70" s="20" t="n">
        <v>1</v>
      </c>
      <c r="J70" s="15">
        <f>IF(H70&gt;=0.05,"≈",IF((E70-F70)*D70&gt;0,"mejor","peor"))</f>
        <v/>
      </c>
    </row>
    <row r="71">
      <c r="A71" s="9" t="inlineStr">
        <is>
          <t>Top-Hat clásico</t>
        </is>
      </c>
      <c r="B71" s="9" t="inlineStr">
        <is>
          <t>DTCWT</t>
        </is>
      </c>
      <c r="C71" s="24" t="inlineStr">
        <is>
          <t>MI_ir</t>
        </is>
      </c>
      <c r="D71" s="11" t="n">
        <v>1</v>
      </c>
      <c r="E71" s="12" t="n">
        <v>0.4928</v>
      </c>
      <c r="F71" s="12" t="n">
        <v>0.6728</v>
      </c>
      <c r="G71" s="26" t="n">
        <v>1.9073486328125e-06</v>
      </c>
      <c r="H71" s="26" t="n">
        <v>2.09808349609375e-05</v>
      </c>
      <c r="I71" s="20" t="n">
        <v>-1</v>
      </c>
      <c r="J71" s="15">
        <f>IF(H71&gt;=0.05,"≈",IF((E71-F71)*D71&gt;0,"mejor","peor"))</f>
        <v/>
      </c>
    </row>
    <row r="72">
      <c r="A72" s="9" t="inlineStr">
        <is>
          <t>Top-Hat clásico</t>
        </is>
      </c>
      <c r="B72" s="9" t="inlineStr">
        <is>
          <t>DTCWT</t>
        </is>
      </c>
      <c r="C72" s="24" t="inlineStr">
        <is>
          <t>MI_vis</t>
        </is>
      </c>
      <c r="D72" s="11" t="n">
        <v>1</v>
      </c>
      <c r="E72" s="12" t="n">
        <v>0.7867</v>
      </c>
      <c r="F72" s="12" t="n">
        <v>1.0781</v>
      </c>
      <c r="G72" s="26" t="n">
        <v>1.9073486328125e-06</v>
      </c>
      <c r="H72" s="26" t="n">
        <v>2.09808349609375e-05</v>
      </c>
      <c r="I72" s="20" t="n">
        <v>-1</v>
      </c>
      <c r="J72" s="15">
        <f>IF(H72&gt;=0.05,"≈",IF((E72-F72)*D72&gt;0,"mejor","peor"))</f>
        <v/>
      </c>
    </row>
    <row r="73">
      <c r="A73" s="9" t="inlineStr">
        <is>
          <t>Top-Hat clásico</t>
        </is>
      </c>
      <c r="B73" s="9" t="inlineStr">
        <is>
          <t>DTCWT</t>
        </is>
      </c>
      <c r="C73" s="24" t="inlineStr">
        <is>
          <t>PSNR</t>
        </is>
      </c>
      <c r="D73" s="11" t="n">
        <v>1</v>
      </c>
      <c r="E73" s="12" t="n">
        <v>16.8728</v>
      </c>
      <c r="F73" s="12" t="n">
        <v>17.5974</v>
      </c>
      <c r="G73" s="26" t="n">
        <v>1.9073486328125e-06</v>
      </c>
      <c r="H73" s="26" t="n">
        <v>2.09808349609375e-05</v>
      </c>
      <c r="I73" s="20" t="n">
        <v>-1</v>
      </c>
      <c r="J73" s="15">
        <f>IF(H73&gt;=0.05,"≈",IF((E73-F73)*D73&gt;0,"mejor","peor"))</f>
        <v/>
      </c>
    </row>
    <row r="74">
      <c r="A74" s="9" t="inlineStr">
        <is>
          <t>Top-Hat clásico</t>
        </is>
      </c>
      <c r="B74" s="9" t="inlineStr">
        <is>
          <t>DTCWT</t>
        </is>
      </c>
      <c r="C74" s="24" t="inlineStr">
        <is>
          <t>SD</t>
        </is>
      </c>
      <c r="D74" s="11" t="n">
        <v>1</v>
      </c>
      <c r="E74" s="12" t="n">
        <v>0.1352</v>
      </c>
      <c r="F74" s="12" t="n">
        <v>0.1172</v>
      </c>
      <c r="G74" s="26" t="n">
        <v>1.9073486328125e-06</v>
      </c>
      <c r="H74" s="26" t="n">
        <v>2.09808349609375e-05</v>
      </c>
      <c r="I74" s="20" t="n">
        <v>1</v>
      </c>
      <c r="J74" s="15">
        <f>IF(H74&gt;=0.05,"≈",IF((E74-F74)*D74&gt;0,"mejor","peor"))</f>
        <v/>
      </c>
    </row>
    <row r="75">
      <c r="A75" s="9" t="inlineStr">
        <is>
          <t>Top-Hat clásico</t>
        </is>
      </c>
      <c r="B75" s="9" t="inlineStr">
        <is>
          <t>DTCWT</t>
        </is>
      </c>
      <c r="C75" s="24" t="inlineStr">
        <is>
          <t>SF</t>
        </is>
      </c>
      <c r="D75" s="11" t="n">
        <v>1</v>
      </c>
      <c r="E75" s="12" t="n">
        <v>23.1</v>
      </c>
      <c r="F75" s="12" t="n">
        <v>13.199</v>
      </c>
      <c r="G75" s="26" t="n">
        <v>1.9073486328125e-06</v>
      </c>
      <c r="H75" s="26" t="n">
        <v>2.09808349609375e-05</v>
      </c>
      <c r="I75" s="20" t="n">
        <v>1</v>
      </c>
      <c r="J75" s="15">
        <f>IF(H75&gt;=0.05,"≈",IF((E75-F75)*D75&gt;0,"mejor","peor"))</f>
        <v/>
      </c>
    </row>
    <row r="76">
      <c r="A76" s="9" t="inlineStr">
        <is>
          <t>Top-Hat clásico</t>
        </is>
      </c>
      <c r="B76" s="9" t="inlineStr">
        <is>
          <t>DTCWT</t>
        </is>
      </c>
      <c r="C76" s="24" t="inlineStr">
        <is>
          <t>SSIM</t>
        </is>
      </c>
      <c r="D76" s="11" t="n">
        <v>1</v>
      </c>
      <c r="E76" s="12" t="n">
        <v>0.5639999999999999</v>
      </c>
      <c r="F76" s="12" t="n">
        <v>0.7249</v>
      </c>
      <c r="G76" s="26" t="n">
        <v>1.9073486328125e-06</v>
      </c>
      <c r="H76" s="26" t="n">
        <v>2.09808349609375e-05</v>
      </c>
      <c r="I76" s="20" t="n">
        <v>-1</v>
      </c>
      <c r="J76" s="15">
        <f>IF(H76&gt;=0.05,"≈",IF((E76-F76)*D76&gt;0,"mejor","peor"))</f>
        <v/>
      </c>
    </row>
    <row r="77">
      <c r="A77" s="9" t="inlineStr">
        <is>
          <t>Top-Hat clásico</t>
        </is>
      </c>
      <c r="B77" s="9" t="inlineStr">
        <is>
          <t>DWT</t>
        </is>
      </c>
      <c r="C77" s="24" t="inlineStr">
        <is>
          <t>EN</t>
        </is>
      </c>
      <c r="D77" s="11" t="n">
        <v>1</v>
      </c>
      <c r="E77" s="12" t="n">
        <v>6.922</v>
      </c>
      <c r="F77" s="12" t="n">
        <v>6.6816</v>
      </c>
      <c r="G77" s="26" t="n">
        <v>1.9073486328125e-06</v>
      </c>
      <c r="H77" s="26" t="n">
        <v>2.09808349609375e-05</v>
      </c>
      <c r="I77" s="20" t="n">
        <v>1</v>
      </c>
      <c r="J77" s="15">
        <f>IF(H77&gt;=0.05,"≈",IF((E77-F77)*D77&gt;0,"mejor","peor"))</f>
        <v/>
      </c>
    </row>
    <row r="78">
      <c r="A78" s="9" t="inlineStr">
        <is>
          <t>Top-Hat clásico</t>
        </is>
      </c>
      <c r="B78" s="9" t="inlineStr">
        <is>
          <t>DWT</t>
        </is>
      </c>
      <c r="C78" s="24" t="inlineStr">
        <is>
          <t>FE</t>
        </is>
      </c>
      <c r="D78" s="11" t="n">
        <v>1</v>
      </c>
      <c r="E78" s="12" t="n">
        <v>1.0952</v>
      </c>
      <c r="F78" s="12" t="n">
        <v>1.0566</v>
      </c>
      <c r="G78" s="26" t="n">
        <v>1.9073486328125e-06</v>
      </c>
      <c r="H78" s="26" t="n">
        <v>2.09808349609375e-05</v>
      </c>
      <c r="I78" s="20" t="n">
        <v>1</v>
      </c>
      <c r="J78" s="15">
        <f>IF(H78&gt;=0.05,"≈",IF((E78-F78)*D78&gt;0,"mejor","peor"))</f>
        <v/>
      </c>
    </row>
    <row r="79">
      <c r="A79" s="9" t="inlineStr">
        <is>
          <t>Top-Hat clásico</t>
        </is>
      </c>
      <c r="B79" s="9" t="inlineStr">
        <is>
          <t>DWT</t>
        </is>
      </c>
      <c r="C79" s="24" t="inlineStr">
        <is>
          <t>MG</t>
        </is>
      </c>
      <c r="D79" s="11" t="n">
        <v>1</v>
      </c>
      <c r="E79" s="12" t="n">
        <v>0.0478</v>
      </c>
      <c r="F79" s="12" t="n">
        <v>0.0275</v>
      </c>
      <c r="G79" s="26" t="n">
        <v>1.9073486328125e-06</v>
      </c>
      <c r="H79" s="26" t="n">
        <v>2.09808349609375e-05</v>
      </c>
      <c r="I79" s="20" t="n">
        <v>1</v>
      </c>
      <c r="J79" s="15">
        <f>IF(H79&gt;=0.05,"≈",IF((E79-F79)*D79&gt;0,"mejor","peor"))</f>
        <v/>
      </c>
    </row>
    <row r="80">
      <c r="A80" s="9" t="inlineStr">
        <is>
          <t>Top-Hat clásico</t>
        </is>
      </c>
      <c r="B80" s="9" t="inlineStr">
        <is>
          <t>DWT</t>
        </is>
      </c>
      <c r="C80" s="24" t="inlineStr">
        <is>
          <t>MI_ir</t>
        </is>
      </c>
      <c r="D80" s="11" t="n">
        <v>1</v>
      </c>
      <c r="E80" s="12" t="n">
        <v>0.4928</v>
      </c>
      <c r="F80" s="12" t="n">
        <v>0.6657999999999999</v>
      </c>
      <c r="G80" s="26" t="n">
        <v>1.9073486328125e-06</v>
      </c>
      <c r="H80" s="26" t="n">
        <v>2.09808349609375e-05</v>
      </c>
      <c r="I80" s="20" t="n">
        <v>-1</v>
      </c>
      <c r="J80" s="15">
        <f>IF(H80&gt;=0.05,"≈",IF((E80-F80)*D80&gt;0,"mejor","peor"))</f>
        <v/>
      </c>
    </row>
    <row r="81">
      <c r="A81" s="9" t="inlineStr">
        <is>
          <t>Top-Hat clásico</t>
        </is>
      </c>
      <c r="B81" s="9" t="inlineStr">
        <is>
          <t>DWT</t>
        </is>
      </c>
      <c r="C81" s="24" t="inlineStr">
        <is>
          <t>MI_vis</t>
        </is>
      </c>
      <c r="D81" s="11" t="n">
        <v>1</v>
      </c>
      <c r="E81" s="12" t="n">
        <v>0.7867</v>
      </c>
      <c r="F81" s="12" t="n">
        <v>1.0764</v>
      </c>
      <c r="G81" s="26" t="n">
        <v>1.9073486328125e-06</v>
      </c>
      <c r="H81" s="26" t="n">
        <v>2.09808349609375e-05</v>
      </c>
      <c r="I81" s="20" t="n">
        <v>-1</v>
      </c>
      <c r="J81" s="15">
        <f>IF(H81&gt;=0.05,"≈",IF((E81-F81)*D81&gt;0,"mejor","peor"))</f>
        <v/>
      </c>
    </row>
    <row r="82">
      <c r="A82" s="9" t="inlineStr">
        <is>
          <t>Top-Hat clásico</t>
        </is>
      </c>
      <c r="B82" s="9" t="inlineStr">
        <is>
          <t>DWT</t>
        </is>
      </c>
      <c r="C82" s="24" t="inlineStr">
        <is>
          <t>PSNR</t>
        </is>
      </c>
      <c r="D82" s="11" t="n">
        <v>1</v>
      </c>
      <c r="E82" s="12" t="n">
        <v>16.8728</v>
      </c>
      <c r="F82" s="12" t="n">
        <v>17.5886</v>
      </c>
      <c r="G82" s="26" t="n">
        <v>1.9073486328125e-06</v>
      </c>
      <c r="H82" s="26" t="n">
        <v>2.09808349609375e-05</v>
      </c>
      <c r="I82" s="20" t="n">
        <v>-1</v>
      </c>
      <c r="J82" s="15">
        <f>IF(H82&gt;=0.05,"≈",IF((E82-F82)*D82&gt;0,"mejor","peor"))</f>
        <v/>
      </c>
    </row>
    <row r="83">
      <c r="A83" s="9" t="inlineStr">
        <is>
          <t>Top-Hat clásico</t>
        </is>
      </c>
      <c r="B83" s="9" t="inlineStr">
        <is>
          <t>DWT</t>
        </is>
      </c>
      <c r="C83" s="24" t="inlineStr">
        <is>
          <t>SD</t>
        </is>
      </c>
      <c r="D83" s="11" t="n">
        <v>1</v>
      </c>
      <c r="E83" s="12" t="n">
        <v>0.1352</v>
      </c>
      <c r="F83" s="12" t="n">
        <v>0.1166</v>
      </c>
      <c r="G83" s="26" t="n">
        <v>1.9073486328125e-06</v>
      </c>
      <c r="H83" s="26" t="n">
        <v>2.09808349609375e-05</v>
      </c>
      <c r="I83" s="20" t="n">
        <v>1</v>
      </c>
      <c r="J83" s="15">
        <f>IF(H83&gt;=0.05,"≈",IF((E83-F83)*D83&gt;0,"mejor","peor"))</f>
        <v/>
      </c>
    </row>
    <row r="84">
      <c r="A84" s="9" t="inlineStr">
        <is>
          <t>Top-Hat clásico</t>
        </is>
      </c>
      <c r="B84" s="9" t="inlineStr">
        <is>
          <t>DWT</t>
        </is>
      </c>
      <c r="C84" s="24" t="inlineStr">
        <is>
          <t>SF</t>
        </is>
      </c>
      <c r="D84" s="11" t="n">
        <v>1</v>
      </c>
      <c r="E84" s="12" t="n">
        <v>23.1</v>
      </c>
      <c r="F84" s="12" t="n">
        <v>14.1888</v>
      </c>
      <c r="G84" s="26" t="n">
        <v>1.9073486328125e-06</v>
      </c>
      <c r="H84" s="26" t="n">
        <v>2.09808349609375e-05</v>
      </c>
      <c r="I84" s="20" t="n">
        <v>1</v>
      </c>
      <c r="J84" s="15">
        <f>IF(H84&gt;=0.05,"≈",IF((E84-F84)*D84&gt;0,"mejor","peor"))</f>
        <v/>
      </c>
    </row>
    <row r="85">
      <c r="A85" s="9" t="inlineStr">
        <is>
          <t>Top-Hat clásico</t>
        </is>
      </c>
      <c r="B85" s="9" t="inlineStr">
        <is>
          <t>DWT</t>
        </is>
      </c>
      <c r="C85" s="24" t="inlineStr">
        <is>
          <t>SSIM</t>
        </is>
      </c>
      <c r="D85" s="11" t="n">
        <v>1</v>
      </c>
      <c r="E85" s="12" t="n">
        <v>0.5639999999999999</v>
      </c>
      <c r="F85" s="12" t="n">
        <v>0.7014</v>
      </c>
      <c r="G85" s="26" t="n">
        <v>1.9073486328125e-06</v>
      </c>
      <c r="H85" s="26" t="n">
        <v>2.09808349609375e-05</v>
      </c>
      <c r="I85" s="20" t="n">
        <v>-1</v>
      </c>
      <c r="J85" s="15">
        <f>IF(H85&gt;=0.05,"≈",IF((E85-F85)*D85&gt;0,"mejor","peor"))</f>
        <v/>
      </c>
    </row>
    <row r="86">
      <c r="A86" s="9" t="inlineStr">
        <is>
          <t>Top-Hat clásico</t>
        </is>
      </c>
      <c r="B86" s="9" t="inlineStr">
        <is>
          <t>LP</t>
        </is>
      </c>
      <c r="C86" s="24" t="inlineStr">
        <is>
          <t>EN</t>
        </is>
      </c>
      <c r="D86" s="11" t="n">
        <v>1</v>
      </c>
      <c r="E86" s="12" t="n">
        <v>6.922</v>
      </c>
      <c r="F86" s="12" t="n">
        <v>6.84</v>
      </c>
      <c r="G86" s="26" t="n">
        <v>0.1893482208251953</v>
      </c>
      <c r="H86" s="26" t="n">
        <v>0.1893482208251953</v>
      </c>
      <c r="I86" s="20" t="n">
        <v>0.34</v>
      </c>
      <c r="J86" s="15">
        <f>IF(H86&gt;=0.05,"≈",IF((E86-F86)*D86&gt;0,"mejor","peor"))</f>
        <v/>
      </c>
    </row>
    <row r="87">
      <c r="A87" s="9" t="inlineStr">
        <is>
          <t>Top-Hat clásico</t>
        </is>
      </c>
      <c r="B87" s="9" t="inlineStr">
        <is>
          <t>LP</t>
        </is>
      </c>
      <c r="C87" s="24" t="inlineStr">
        <is>
          <t>FE</t>
        </is>
      </c>
      <c r="D87" s="11" t="n">
        <v>1</v>
      </c>
      <c r="E87" s="12" t="n">
        <v>1.0952</v>
      </c>
      <c r="F87" s="12" t="n">
        <v>1.0806</v>
      </c>
      <c r="G87" s="26" t="n">
        <v>0.164957046508789</v>
      </c>
      <c r="H87" s="26" t="n">
        <v>0.164957046508789</v>
      </c>
      <c r="I87" s="20" t="n">
        <v>0.36</v>
      </c>
      <c r="J87" s="15">
        <f>IF(H87&gt;=0.05,"≈",IF((E87-F87)*D87&gt;0,"mejor","peor"))</f>
        <v/>
      </c>
    </row>
    <row r="88">
      <c r="A88" s="9" t="inlineStr">
        <is>
          <t>Top-Hat clásico</t>
        </is>
      </c>
      <c r="B88" s="9" t="inlineStr">
        <is>
          <t>LP</t>
        </is>
      </c>
      <c r="C88" s="24" t="inlineStr">
        <is>
          <t>MG</t>
        </is>
      </c>
      <c r="D88" s="11" t="n">
        <v>1</v>
      </c>
      <c r="E88" s="12" t="n">
        <v>0.0478</v>
      </c>
      <c r="F88" s="12" t="n">
        <v>0.0252</v>
      </c>
      <c r="G88" s="26" t="n">
        <v>1.9073486328125e-06</v>
      </c>
      <c r="H88" s="26" t="n">
        <v>2.09808349609375e-05</v>
      </c>
      <c r="I88" s="20" t="n">
        <v>1</v>
      </c>
      <c r="J88" s="15">
        <f>IF(H88&gt;=0.05,"≈",IF((E88-F88)*D88&gt;0,"mejor","peor"))</f>
        <v/>
      </c>
    </row>
    <row r="89">
      <c r="A89" s="9" t="inlineStr">
        <is>
          <t>Top-Hat clásico</t>
        </is>
      </c>
      <c r="B89" s="9" t="inlineStr">
        <is>
          <t>LP</t>
        </is>
      </c>
      <c r="C89" s="24" t="inlineStr">
        <is>
          <t>MI_ir</t>
        </is>
      </c>
      <c r="D89" s="11" t="n">
        <v>1</v>
      </c>
      <c r="E89" s="12" t="n">
        <v>0.4928</v>
      </c>
      <c r="F89" s="12" t="n">
        <v>0.9177999999999999</v>
      </c>
      <c r="G89" s="26" t="n">
        <v>3.62396240234375e-05</v>
      </c>
      <c r="H89" s="26" t="n">
        <v>0.0002174377441406</v>
      </c>
      <c r="I89" s="20" t="n">
        <v>-0.93</v>
      </c>
      <c r="J89" s="15">
        <f>IF(H89&gt;=0.05,"≈",IF((E89-F89)*D89&gt;0,"mejor","peor"))</f>
        <v/>
      </c>
    </row>
    <row r="90">
      <c r="A90" s="9" t="inlineStr">
        <is>
          <t>Top-Hat clásico</t>
        </is>
      </c>
      <c r="B90" s="9" t="inlineStr">
        <is>
          <t>LP</t>
        </is>
      </c>
      <c r="C90" s="24" t="inlineStr">
        <is>
          <t>MI_vis</t>
        </is>
      </c>
      <c r="D90" s="11" t="n">
        <v>1</v>
      </c>
      <c r="E90" s="12" t="n">
        <v>0.7867</v>
      </c>
      <c r="F90" s="12" t="n">
        <v>1.9242</v>
      </c>
      <c r="G90" s="26" t="n">
        <v>1.9073486328125e-05</v>
      </c>
      <c r="H90" s="26" t="n">
        <v>7.62939453125e-05</v>
      </c>
      <c r="I90" s="20" t="n">
        <v>-0.95</v>
      </c>
      <c r="J90" s="15">
        <f>IF(H90&gt;=0.05,"≈",IF((E90-F90)*D90&gt;0,"mejor","peor"))</f>
        <v/>
      </c>
    </row>
    <row r="91">
      <c r="A91" s="9" t="inlineStr">
        <is>
          <t>Top-Hat clásico</t>
        </is>
      </c>
      <c r="B91" s="9" t="inlineStr">
        <is>
          <t>LP</t>
        </is>
      </c>
      <c r="C91" s="24" t="inlineStr">
        <is>
          <t>PSNR</t>
        </is>
      </c>
      <c r="D91" s="11" t="n">
        <v>1</v>
      </c>
      <c r="E91" s="12" t="n">
        <v>16.8728</v>
      </c>
      <c r="F91" s="12" t="n">
        <v>14.9401</v>
      </c>
      <c r="G91" s="26" t="n">
        <v>1.9073486328125e-06</v>
      </c>
      <c r="H91" s="26" t="n">
        <v>2.09808349609375e-05</v>
      </c>
      <c r="I91" s="20" t="n">
        <v>1</v>
      </c>
      <c r="J91" s="15">
        <f>IF(H91&gt;=0.05,"≈",IF((E91-F91)*D91&gt;0,"mejor","peor"))</f>
        <v/>
      </c>
    </row>
    <row r="92">
      <c r="A92" s="9" t="inlineStr">
        <is>
          <t>Top-Hat clásico</t>
        </is>
      </c>
      <c r="B92" s="9" t="inlineStr">
        <is>
          <t>LP</t>
        </is>
      </c>
      <c r="C92" s="24" t="inlineStr">
        <is>
          <t>SD</t>
        </is>
      </c>
      <c r="D92" s="11" t="n">
        <v>1</v>
      </c>
      <c r="E92" s="12" t="n">
        <v>0.1352</v>
      </c>
      <c r="F92" s="12" t="n">
        <v>0.155</v>
      </c>
      <c r="G92" s="26" t="n">
        <v>0.026641845703125</v>
      </c>
      <c r="H92" s="26" t="n">
        <v>0.05328369140625</v>
      </c>
      <c r="I92" s="20" t="n">
        <v>-0.5600000000000001</v>
      </c>
      <c r="J92" s="15">
        <f>IF(H92&gt;=0.05,"≈",IF((E92-F92)*D92&gt;0,"mejor","peor"))</f>
        <v/>
      </c>
    </row>
    <row r="93">
      <c r="A93" s="9" t="inlineStr">
        <is>
          <t>Top-Hat clásico</t>
        </is>
      </c>
      <c r="B93" s="9" t="inlineStr">
        <is>
          <t>LP</t>
        </is>
      </c>
      <c r="C93" s="24" t="inlineStr">
        <is>
          <t>SF</t>
        </is>
      </c>
      <c r="D93" s="11" t="n">
        <v>1</v>
      </c>
      <c r="E93" s="12" t="n">
        <v>23.1</v>
      </c>
      <c r="F93" s="12" t="n">
        <v>13.2205</v>
      </c>
      <c r="G93" s="26" t="n">
        <v>1.9073486328125e-06</v>
      </c>
      <c r="H93" s="26" t="n">
        <v>2.09808349609375e-05</v>
      </c>
      <c r="I93" s="20" t="n">
        <v>1</v>
      </c>
      <c r="J93" s="15">
        <f>IF(H93&gt;=0.05,"≈",IF((E93-F93)*D93&gt;0,"mejor","peor"))</f>
        <v/>
      </c>
    </row>
    <row r="94">
      <c r="A94" s="9" t="inlineStr">
        <is>
          <t>Top-Hat clásico</t>
        </is>
      </c>
      <c r="B94" s="9" t="inlineStr">
        <is>
          <t>LP</t>
        </is>
      </c>
      <c r="C94" s="24" t="inlineStr">
        <is>
          <t>SSIM</t>
        </is>
      </c>
      <c r="D94" s="11" t="n">
        <v>1</v>
      </c>
      <c r="E94" s="12" t="n">
        <v>0.5639999999999999</v>
      </c>
      <c r="F94" s="12" t="n">
        <v>0.7059</v>
      </c>
      <c r="G94" s="26" t="n">
        <v>1.9073486328125e-06</v>
      </c>
      <c r="H94" s="26" t="n">
        <v>2.09808349609375e-05</v>
      </c>
      <c r="I94" s="20" t="n">
        <v>-1</v>
      </c>
      <c r="J94" s="15">
        <f>IF(H94&gt;=0.05,"≈",IF((E94-F94)*D94&gt;0,"mejor","peor"))</f>
        <v/>
      </c>
    </row>
    <row r="95">
      <c r="A95" s="9" t="inlineStr">
        <is>
          <t>Top-Hat clásico</t>
        </is>
      </c>
      <c r="B95" s="9" t="inlineStr">
        <is>
          <t>RP</t>
        </is>
      </c>
      <c r="C95" s="24" t="inlineStr">
        <is>
          <t>EN</t>
        </is>
      </c>
      <c r="D95" s="11" t="n">
        <v>1</v>
      </c>
      <c r="E95" s="12" t="n">
        <v>6.922</v>
      </c>
      <c r="F95" s="12" t="n">
        <v>6.8098</v>
      </c>
      <c r="G95" s="26" t="n">
        <v>0.0007076263427734</v>
      </c>
      <c r="H95" s="26" t="n">
        <v>0.0021228790283203</v>
      </c>
      <c r="I95" s="20" t="n">
        <v>0.8100000000000001</v>
      </c>
      <c r="J95" s="15">
        <f>IF(H95&gt;=0.05,"≈",IF((E95-F95)*D95&gt;0,"mejor","peor"))</f>
        <v/>
      </c>
    </row>
    <row r="96">
      <c r="A96" s="9" t="inlineStr">
        <is>
          <t>Top-Hat clásico</t>
        </is>
      </c>
      <c r="B96" s="9" t="inlineStr">
        <is>
          <t>RP</t>
        </is>
      </c>
      <c r="C96" s="24" t="inlineStr">
        <is>
          <t>FE</t>
        </is>
      </c>
      <c r="D96" s="11" t="n">
        <v>1</v>
      </c>
      <c r="E96" s="12" t="n">
        <v>1.0952</v>
      </c>
      <c r="F96" s="12" t="n">
        <v>1.077</v>
      </c>
      <c r="G96" s="26" t="n">
        <v>0.0003948211669921</v>
      </c>
      <c r="H96" s="26" t="n">
        <v>0.0011844635009765</v>
      </c>
      <c r="I96" s="20" t="n">
        <v>0.84</v>
      </c>
      <c r="J96" s="15">
        <f>IF(H96&gt;=0.05,"≈",IF((E96-F96)*D96&gt;0,"mejor","peor"))</f>
        <v/>
      </c>
    </row>
    <row r="97">
      <c r="A97" s="9" t="inlineStr">
        <is>
          <t>Top-Hat clásico</t>
        </is>
      </c>
      <c r="B97" s="9" t="inlineStr">
        <is>
          <t>RP</t>
        </is>
      </c>
      <c r="C97" s="24" t="inlineStr">
        <is>
          <t>MG</t>
        </is>
      </c>
      <c r="D97" s="11" t="n">
        <v>1</v>
      </c>
      <c r="E97" s="12" t="n">
        <v>0.0478</v>
      </c>
      <c r="F97" s="12" t="n">
        <v>0.0275</v>
      </c>
      <c r="G97" s="26" t="n">
        <v>1.9073486328125e-06</v>
      </c>
      <c r="H97" s="26" t="n">
        <v>2.09808349609375e-05</v>
      </c>
      <c r="I97" s="20" t="n">
        <v>1</v>
      </c>
      <c r="J97" s="15">
        <f>IF(H97&gt;=0.05,"≈",IF((E97-F97)*D97&gt;0,"mejor","peor"))</f>
        <v/>
      </c>
    </row>
    <row r="98">
      <c r="A98" s="9" t="inlineStr">
        <is>
          <t>Top-Hat clásico</t>
        </is>
      </c>
      <c r="B98" s="9" t="inlineStr">
        <is>
          <t>RP</t>
        </is>
      </c>
      <c r="C98" s="24" t="inlineStr">
        <is>
          <t>MI_ir</t>
        </is>
      </c>
      <c r="D98" s="11" t="n">
        <v>1</v>
      </c>
      <c r="E98" s="12" t="n">
        <v>0.4928</v>
      </c>
      <c r="F98" s="12" t="n">
        <v>0.6504</v>
      </c>
      <c r="G98" s="26" t="n">
        <v>0.0002613067626953</v>
      </c>
      <c r="H98" s="26" t="n">
        <v>0.0008392333984375</v>
      </c>
      <c r="I98" s="20" t="n">
        <v>-0.86</v>
      </c>
      <c r="J98" s="15">
        <f>IF(H98&gt;=0.05,"≈",IF((E98-F98)*D98&gt;0,"mejor","peor"))</f>
        <v/>
      </c>
    </row>
    <row r="99">
      <c r="A99" s="9" t="inlineStr">
        <is>
          <t>Top-Hat clásico</t>
        </is>
      </c>
      <c r="B99" s="9" t="inlineStr">
        <is>
          <t>RP</t>
        </is>
      </c>
      <c r="C99" s="24" t="inlineStr">
        <is>
          <t>MI_vis</t>
        </is>
      </c>
      <c r="D99" s="11" t="n">
        <v>1</v>
      </c>
      <c r="E99" s="12" t="n">
        <v>0.7867</v>
      </c>
      <c r="F99" s="12" t="n">
        <v>0.9485</v>
      </c>
      <c r="G99" s="26" t="n">
        <v>0.0016899108886718</v>
      </c>
      <c r="H99" s="26" t="n">
        <v>0.0033798217773437</v>
      </c>
      <c r="I99" s="20" t="n">
        <v>-0.76</v>
      </c>
      <c r="J99" s="15">
        <f>IF(H99&gt;=0.05,"≈",IF((E99-F99)*D99&gt;0,"mejor","peor"))</f>
        <v/>
      </c>
    </row>
    <row r="100">
      <c r="A100" s="9" t="inlineStr">
        <is>
          <t>Top-Hat clásico</t>
        </is>
      </c>
      <c r="B100" s="9" t="inlineStr">
        <is>
          <t>RP</t>
        </is>
      </c>
      <c r="C100" s="24" t="inlineStr">
        <is>
          <t>PSNR</t>
        </is>
      </c>
      <c r="D100" s="11" t="n">
        <v>1</v>
      </c>
      <c r="E100" s="12" t="n">
        <v>16.8728</v>
      </c>
      <c r="F100" s="12" t="n">
        <v>17.3689</v>
      </c>
      <c r="G100" s="26" t="n">
        <v>0.0007076263427734</v>
      </c>
      <c r="H100" s="26" t="n">
        <v>0.0014152526855468</v>
      </c>
      <c r="I100" s="20" t="n">
        <v>-0.8100000000000001</v>
      </c>
      <c r="J100" s="15">
        <f>IF(H100&gt;=0.05,"≈",IF((E100-F100)*D100&gt;0,"mejor","peor"))</f>
        <v/>
      </c>
    </row>
    <row r="101">
      <c r="A101" s="9" t="inlineStr">
        <is>
          <t>Top-Hat clásico</t>
        </is>
      </c>
      <c r="B101" s="9" t="inlineStr">
        <is>
          <t>RP</t>
        </is>
      </c>
      <c r="C101" s="24" t="inlineStr">
        <is>
          <t>SD</t>
        </is>
      </c>
      <c r="D101" s="11" t="n">
        <v>1</v>
      </c>
      <c r="E101" s="12" t="n">
        <v>0.1352</v>
      </c>
      <c r="F101" s="12" t="n">
        <v>0.1271</v>
      </c>
      <c r="G101" s="26" t="n">
        <v>0.0016899108886718</v>
      </c>
      <c r="H101" s="26" t="n">
        <v>0.0050697326660156</v>
      </c>
      <c r="I101" s="20" t="n">
        <v>0.76</v>
      </c>
      <c r="J101" s="15">
        <f>IF(H101&gt;=0.05,"≈",IF((E101-F101)*D101&gt;0,"mejor","peor"))</f>
        <v/>
      </c>
    </row>
    <row r="102">
      <c r="A102" s="9" t="inlineStr">
        <is>
          <t>Top-Hat clásico</t>
        </is>
      </c>
      <c r="B102" s="9" t="inlineStr">
        <is>
          <t>RP</t>
        </is>
      </c>
      <c r="C102" s="24" t="inlineStr">
        <is>
          <t>SF</t>
        </is>
      </c>
      <c r="D102" s="11" t="n">
        <v>1</v>
      </c>
      <c r="E102" s="12" t="n">
        <v>23.1</v>
      </c>
      <c r="F102" s="12" t="n">
        <v>13.6209</v>
      </c>
      <c r="G102" s="26" t="n">
        <v>1.9073486328125e-06</v>
      </c>
      <c r="H102" s="26" t="n">
        <v>2.09808349609375e-05</v>
      </c>
      <c r="I102" s="20" t="n">
        <v>1</v>
      </c>
      <c r="J102" s="15">
        <f>IF(H102&gt;=0.05,"≈",IF((E102-F102)*D102&gt;0,"mejor","peor"))</f>
        <v/>
      </c>
    </row>
    <row r="103">
      <c r="A103" s="9" t="inlineStr">
        <is>
          <t>Top-Hat clásico</t>
        </is>
      </c>
      <c r="B103" s="9" t="inlineStr">
        <is>
          <t>RP</t>
        </is>
      </c>
      <c r="C103" s="24" t="inlineStr">
        <is>
          <t>SSIM</t>
        </is>
      </c>
      <c r="D103" s="11" t="n">
        <v>1</v>
      </c>
      <c r="E103" s="12" t="n">
        <v>0.5639999999999999</v>
      </c>
      <c r="F103" s="12" t="n">
        <v>0.7050999999999999</v>
      </c>
      <c r="G103" s="26" t="n">
        <v>1.9073486328125e-06</v>
      </c>
      <c r="H103" s="26" t="n">
        <v>2.09808349609375e-05</v>
      </c>
      <c r="I103" s="20" t="n">
        <v>-1</v>
      </c>
      <c r="J103" s="15">
        <f>IF(H103&gt;=0.05,"≈",IF((E103-F103)*D103&gt;0,"mejor","peor"))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</cols>
  <sheetData>
    <row r="1">
      <c r="A1" s="1" t="inlineStr">
        <is>
          <t>Ranking global de los 7 métodos (nueve métricas, dirección respetada)</t>
        </is>
      </c>
    </row>
    <row r="2">
      <c r="A2" s="2" t="inlineStr">
        <is>
          <t>Rango 1 = mejor en esa métrica. La columna final promedia los nueve rangos con fórmula. La propuesta es 1ª en EN y FE y 2ª en SD, MG y SF; cede en las métricas de fidelidad a las fuentes (SSIM, PSNR) y en información mutua, lideradas por los métodos multiescala. Queda 1ª en el ranking global (3,394), calculado como promedio de rangos intra-bloque.</t>
        </is>
      </c>
    </row>
    <row r="4">
      <c r="A4" s="10" t="inlineStr">
        <is>
          <t>Método</t>
        </is>
      </c>
      <c r="B4" s="10" t="inlineStr">
        <is>
          <t>EN</t>
        </is>
      </c>
      <c r="C4" s="10" t="inlineStr">
        <is>
          <t>SD</t>
        </is>
      </c>
      <c r="D4" s="10" t="inlineStr">
        <is>
          <t>FE</t>
        </is>
      </c>
      <c r="E4" s="10" t="inlineStr">
        <is>
          <t>MG</t>
        </is>
      </c>
      <c r="F4" s="10" t="inlineStr">
        <is>
          <t>MI_vis</t>
        </is>
      </c>
      <c r="G4" s="10" t="inlineStr">
        <is>
          <t>MI_ir</t>
        </is>
      </c>
      <c r="H4" s="10" t="inlineStr">
        <is>
          <t>SF</t>
        </is>
      </c>
      <c r="I4" s="10" t="inlineStr">
        <is>
          <t>SSIM</t>
        </is>
      </c>
      <c r="J4" s="10" t="inlineStr">
        <is>
          <t>PSNR</t>
        </is>
      </c>
      <c r="K4" s="10" t="inlineStr">
        <is>
          <t>Rank promedio</t>
        </is>
      </c>
    </row>
    <row r="5">
      <c r="A5" s="8" t="inlineStr">
        <is>
          <t>PROPUESTA NOVEDOSA (r=25, m=0,30)</t>
        </is>
      </c>
      <c r="B5" s="27" t="n">
        <v>1.5</v>
      </c>
      <c r="C5" s="27" t="n">
        <v>1.65</v>
      </c>
      <c r="D5" s="27" t="n">
        <v>1.5</v>
      </c>
      <c r="E5" s="27" t="n">
        <v>2</v>
      </c>
      <c r="F5" s="27" t="n">
        <v>5.4</v>
      </c>
      <c r="G5" s="27" t="n">
        <v>5.25</v>
      </c>
      <c r="H5" s="27" t="n">
        <v>2</v>
      </c>
      <c r="I5" s="27" t="n">
        <v>5.9</v>
      </c>
      <c r="J5" s="27" t="n">
        <v>5.35</v>
      </c>
      <c r="K5" s="22">
        <f>AVERAGE(B5:J5)</f>
        <v/>
      </c>
    </row>
    <row r="6">
      <c r="A6" s="9" t="inlineStr">
        <is>
          <t>Pirámide de Laplace (LP)</t>
        </is>
      </c>
      <c r="B6" s="25" t="n">
        <v>3.25</v>
      </c>
      <c r="C6" s="25" t="n">
        <v>2</v>
      </c>
      <c r="D6" s="25" t="n">
        <v>3.25</v>
      </c>
      <c r="E6" s="25" t="n">
        <v>6.25</v>
      </c>
      <c r="F6" s="25" t="n">
        <v>1.85</v>
      </c>
      <c r="G6" s="25" t="n">
        <v>2.2</v>
      </c>
      <c r="H6" s="25" t="n">
        <v>5.65</v>
      </c>
      <c r="I6" s="25" t="n">
        <v>3.8</v>
      </c>
      <c r="J6" s="25" t="n">
        <v>6.95</v>
      </c>
      <c r="K6" s="22">
        <f>AVERAGE(B6:J6)</f>
        <v/>
      </c>
    </row>
    <row r="7">
      <c r="A7" s="9" t="inlineStr">
        <is>
          <t>Top-Hat clásico</t>
        </is>
      </c>
      <c r="B7" s="25" t="n">
        <v>2.45</v>
      </c>
      <c r="C7" s="25" t="n">
        <v>2.85</v>
      </c>
      <c r="D7" s="25" t="n">
        <v>2.45</v>
      </c>
      <c r="E7" s="25" t="n">
        <v>1</v>
      </c>
      <c r="F7" s="25" t="n">
        <v>6.7</v>
      </c>
      <c r="G7" s="25" t="n">
        <v>6.7</v>
      </c>
      <c r="H7" s="25" t="n">
        <v>1</v>
      </c>
      <c r="I7" s="25" t="n">
        <v>7</v>
      </c>
      <c r="J7" s="25" t="n">
        <v>5.35</v>
      </c>
      <c r="K7" s="22">
        <f>AVERAGE(B7:J7)</f>
        <v/>
      </c>
    </row>
    <row r="8">
      <c r="A8" s="9" t="inlineStr">
        <is>
          <t>Ratio of low-pass Pyramid (RP)</t>
        </is>
      </c>
      <c r="B8" s="25" t="n">
        <v>3.55</v>
      </c>
      <c r="C8" s="25" t="n">
        <v>3.6</v>
      </c>
      <c r="D8" s="25" t="n">
        <v>3.55</v>
      </c>
      <c r="E8" s="25" t="n">
        <v>4.65</v>
      </c>
      <c r="F8" s="25" t="n">
        <v>4.75</v>
      </c>
      <c r="G8" s="25" t="n">
        <v>3.45</v>
      </c>
      <c r="H8" s="25" t="n">
        <v>4.95</v>
      </c>
      <c r="I8" s="25" t="n">
        <v>3</v>
      </c>
      <c r="J8" s="25" t="n">
        <v>4.35</v>
      </c>
      <c r="K8" s="22">
        <f>AVERAGE(B8:J8)</f>
        <v/>
      </c>
    </row>
    <row r="9">
      <c r="A9" s="9" t="inlineStr">
        <is>
          <t>Dual-Tree Complex Wavelet (DTCWT)</t>
        </is>
      </c>
      <c r="B9" s="25" t="n">
        <v>4.9</v>
      </c>
      <c r="C9" s="25" t="n">
        <v>5.05</v>
      </c>
      <c r="D9" s="25" t="n">
        <v>4.9</v>
      </c>
      <c r="E9" s="25" t="n">
        <v>6.05</v>
      </c>
      <c r="F9" s="25" t="n">
        <v>3.25</v>
      </c>
      <c r="G9" s="25" t="n">
        <v>3.3</v>
      </c>
      <c r="H9" s="25" t="n">
        <v>6</v>
      </c>
      <c r="I9" s="25" t="n">
        <v>1.3</v>
      </c>
      <c r="J9" s="25" t="n">
        <v>2.25</v>
      </c>
      <c r="K9" s="22">
        <f>AVERAGE(B9:J9)</f>
        <v/>
      </c>
    </row>
    <row r="10">
      <c r="A10" s="9" t="inlineStr">
        <is>
          <t>Wavelet discreta (DWT)</t>
        </is>
      </c>
      <c r="B10" s="25" t="n">
        <v>5.5</v>
      </c>
      <c r="C10" s="25" t="n">
        <v>5.85</v>
      </c>
      <c r="D10" s="25" t="n">
        <v>5.5</v>
      </c>
      <c r="E10" s="25" t="n">
        <v>3.3</v>
      </c>
      <c r="F10" s="25" t="n">
        <v>3.4</v>
      </c>
      <c r="G10" s="25" t="n">
        <v>3.9</v>
      </c>
      <c r="H10" s="25" t="n">
        <v>3.2</v>
      </c>
      <c r="I10" s="25" t="n">
        <v>4.5</v>
      </c>
      <c r="J10" s="25" t="n">
        <v>2.75</v>
      </c>
      <c r="K10" s="22">
        <f>AVERAGE(B10:J10)</f>
        <v/>
      </c>
    </row>
    <row r="11">
      <c r="A11" s="9" t="inlineStr">
        <is>
          <t>Wavelet db4 (CVT)</t>
        </is>
      </c>
      <c r="B11" s="25" t="n">
        <v>6.85</v>
      </c>
      <c r="C11" s="25" t="n">
        <v>7</v>
      </c>
      <c r="D11" s="25" t="n">
        <v>6.85</v>
      </c>
      <c r="E11" s="25" t="n">
        <v>4.75</v>
      </c>
      <c r="F11" s="25" t="n">
        <v>2.65</v>
      </c>
      <c r="G11" s="25" t="n">
        <v>3.2</v>
      </c>
      <c r="H11" s="25" t="n">
        <v>5.2</v>
      </c>
      <c r="I11" s="25" t="n">
        <v>2.5</v>
      </c>
      <c r="J11" s="25" t="n">
        <v>1</v>
      </c>
      <c r="K11" s="22">
        <f>AVERAGE(B11:J11)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Evaluación orientada a tarea — detección de peatones en LLVIP</t>
        </is>
      </c>
    </row>
    <row r="2">
      <c r="A2" s="2" t="inlineStr">
        <is>
          <t>YOLOv8n reentrenado 40 épocas por método (subconjunto 2.000 train / 500 val, misma config y semilla). Etiquetas idénticas para todos: la diferencia de mAP aísla el efecto del método de fusión. En negrita el mejor por columna.</t>
        </is>
      </c>
    </row>
    <row r="4">
      <c r="A4" s="10" t="inlineStr">
        <is>
          <t>Entrada del detector</t>
        </is>
      </c>
      <c r="B4" s="10" t="inlineStr">
        <is>
          <t>mAP@0,5 ↑</t>
        </is>
      </c>
      <c r="C4" s="10" t="inlineStr">
        <is>
          <t>mAP@0,5:0,95 ↑</t>
        </is>
      </c>
      <c r="D4" s="10" t="inlineStr">
        <is>
          <t>Precisión ↑</t>
        </is>
      </c>
      <c r="E4" s="10" t="inlineStr">
        <is>
          <t>Recall ↑</t>
        </is>
      </c>
    </row>
    <row r="5">
      <c r="A5" s="9" t="inlineStr">
        <is>
          <t>VIS (solo)</t>
        </is>
      </c>
      <c r="B5" s="16" t="n">
        <v>0.8133</v>
      </c>
      <c r="C5" s="16" t="n">
        <v>0.4498</v>
      </c>
      <c r="D5" s="16" t="n">
        <v>0.8509</v>
      </c>
      <c r="E5" s="16" t="n">
        <v>0.743</v>
      </c>
    </row>
    <row r="6">
      <c r="A6" s="9" t="inlineStr">
        <is>
          <t>IR (solo)</t>
        </is>
      </c>
      <c r="B6" s="17" t="n">
        <v>0.9708</v>
      </c>
      <c r="C6" s="17" t="n">
        <v>0.6211</v>
      </c>
      <c r="D6" s="17" t="n">
        <v>0.9755</v>
      </c>
      <c r="E6" s="17" t="n">
        <v>0.9238</v>
      </c>
    </row>
    <row r="7">
      <c r="A7" s="9" t="inlineStr">
        <is>
          <t>Pirámide de Laplace (LP)</t>
        </is>
      </c>
      <c r="B7" s="16" t="n">
        <v>0.9515</v>
      </c>
      <c r="C7" s="16" t="n">
        <v>0.5648</v>
      </c>
      <c r="D7" s="16" t="n">
        <v>0.969</v>
      </c>
      <c r="E7" s="16" t="n">
        <v>0.9025</v>
      </c>
    </row>
    <row r="8">
      <c r="A8" s="9" t="inlineStr">
        <is>
          <t>Ratio of low-pass Pyramid (RP)</t>
        </is>
      </c>
      <c r="B8" s="16" t="n">
        <v>0.9056</v>
      </c>
      <c r="C8" s="16" t="n">
        <v>0.5003</v>
      </c>
      <c r="D8" s="16" t="n">
        <v>0.9243</v>
      </c>
      <c r="E8" s="16" t="n">
        <v>0.8429</v>
      </c>
    </row>
    <row r="9">
      <c r="A9" s="9" t="inlineStr">
        <is>
          <t>Wavelet discreta (DWT)</t>
        </is>
      </c>
      <c r="B9" s="16" t="n">
        <v>0.9394</v>
      </c>
      <c r="C9" s="16" t="n">
        <v>0.6018</v>
      </c>
      <c r="D9" s="16" t="n">
        <v>0.9297</v>
      </c>
      <c r="E9" s="16" t="n">
        <v>0.8176</v>
      </c>
    </row>
    <row r="10">
      <c r="A10" s="9" t="inlineStr">
        <is>
          <t>Dual-Tree Complex Wavelet (DTCWT)</t>
        </is>
      </c>
      <c r="B10" s="16" t="n">
        <v>0.9485</v>
      </c>
      <c r="C10" s="16" t="n">
        <v>0.6032999999999999</v>
      </c>
      <c r="D10" s="16" t="n">
        <v>0.9706</v>
      </c>
      <c r="E10" s="16" t="n">
        <v>0.8718</v>
      </c>
    </row>
    <row r="11">
      <c r="A11" s="9" t="inlineStr">
        <is>
          <t>Wavelet db4 (CVT)</t>
        </is>
      </c>
      <c r="B11" s="16" t="n">
        <v>0.9403</v>
      </c>
      <c r="C11" s="16" t="n">
        <v>0.6077</v>
      </c>
      <c r="D11" s="16" t="n">
        <v>0.9622000000000001</v>
      </c>
      <c r="E11" s="16" t="n">
        <v>0.85</v>
      </c>
    </row>
    <row r="12">
      <c r="A12" s="9" t="inlineStr">
        <is>
          <t>Top-Hat clásico</t>
        </is>
      </c>
      <c r="B12" s="16" t="n">
        <v>0.9326</v>
      </c>
      <c r="C12" s="16" t="n">
        <v>0.6093</v>
      </c>
      <c r="D12" s="16" t="n">
        <v>0.9544</v>
      </c>
      <c r="E12" s="16" t="n">
        <v>0.8711</v>
      </c>
    </row>
    <row r="13">
      <c r="A13" s="8" t="inlineStr">
        <is>
          <t>Propuesta Novedosa (r=25, m=0,30)</t>
        </is>
      </c>
      <c r="B13" s="17" t="n">
        <v>0.9056999999999999</v>
      </c>
      <c r="C13" s="17" t="n">
        <v>0.5813</v>
      </c>
      <c r="D13" s="17" t="n">
        <v>0.8756</v>
      </c>
      <c r="E13" s="17" t="n">
        <v>0.7613</v>
      </c>
    </row>
    <row r="15">
      <c r="A15" s="7" t="inlineStr">
        <is>
          <t>Lectura: toda fusión supera al visible solo (+0,11 a +0,14 en mAP@0,5); el infrarrojo solo es la modalidad más fuerte (0,957) y ninguna fusión lo supera (peatón nocturno = térmico); entre las fusiones (banda 0,913–0,949) la propuesta queda en el extremo inferior (0,913). El realce que premian las métricas de actividad no mejora la detección: ambos criterios deben reportarse por separado (H3 no sostenida).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Clases complementarias en M3FD — un detector único VIS+IR</t>
        </is>
      </c>
    </row>
    <row r="2">
      <c r="A2" s="2" t="inlineStr">
        <is>
          <t>YOLOv8n entrenado con las imágenes de ambas modalidades mezcladas (etiquetas compartidas, 40 épocas) y evaluado por inferencia sobre la partición de PRUEBA de cada entrada, disjunta de la de entrenamiento y de la de selección del modelo. People domina en IR (térmica); Lamp solo se ve en VIS. En negrita el mejor por columna.</t>
        </is>
      </c>
    </row>
    <row r="4">
      <c r="A4" s="10" t="inlineStr">
        <is>
          <t>Entrada del detector</t>
        </is>
      </c>
      <c r="B4" s="10" t="inlineStr">
        <is>
          <t>AP@0,5 People ↑</t>
        </is>
      </c>
      <c r="C4" s="10" t="inlineStr">
        <is>
          <t>AP@0,5 Lamp ↑</t>
        </is>
      </c>
      <c r="D4" s="10" t="inlineStr">
        <is>
          <t>Promedio del par ↑</t>
        </is>
      </c>
      <c r="E4" s="10" t="inlineStr">
        <is>
          <t>mAP@0,5 (6 clases) ↑</t>
        </is>
      </c>
    </row>
    <row r="5">
      <c r="A5" s="9" t="inlineStr">
        <is>
          <t>VIS (solo)</t>
        </is>
      </c>
      <c r="B5" s="16" t="n">
        <v>0.6207</v>
      </c>
      <c r="C5" s="17" t="n">
        <v>0.6161</v>
      </c>
      <c r="D5" s="16" t="n">
        <v>0.6183999999999999</v>
      </c>
      <c r="E5" s="16" t="n">
        <v>0.6762</v>
      </c>
    </row>
    <row r="6">
      <c r="A6" s="9" t="inlineStr">
        <is>
          <t>IR (solo)</t>
        </is>
      </c>
      <c r="B6" s="17" t="n">
        <v>0.7786999999999999</v>
      </c>
      <c r="C6" s="16" t="n">
        <v>0.3482</v>
      </c>
      <c r="D6" s="16" t="n">
        <v>0.5635</v>
      </c>
      <c r="E6" s="16" t="n">
        <v>0.668</v>
      </c>
    </row>
    <row r="7">
      <c r="A7" s="9" t="inlineStr">
        <is>
          <t>Pirámide de Laplace (LP)</t>
        </is>
      </c>
      <c r="B7" s="16" t="n">
        <v>0.6837</v>
      </c>
      <c r="C7" s="16" t="n">
        <v>0.5446</v>
      </c>
      <c r="D7" s="16" t="n">
        <v>0.6141</v>
      </c>
      <c r="E7" s="16" t="n">
        <v>0.6736</v>
      </c>
    </row>
    <row r="8">
      <c r="A8" s="9" t="inlineStr">
        <is>
          <t>Ratio Pyramid (RP)</t>
        </is>
      </c>
      <c r="B8" s="16" t="n">
        <v>0.6938</v>
      </c>
      <c r="C8" s="16" t="n">
        <v>0.5505</v>
      </c>
      <c r="D8" s="17" t="n">
        <v>0.6221</v>
      </c>
      <c r="E8" s="17" t="n">
        <v>0.6772</v>
      </c>
    </row>
    <row r="9">
      <c r="A9" s="9" t="inlineStr">
        <is>
          <t>Wavelet discreta (DWT)</t>
        </is>
      </c>
      <c r="B9" s="16" t="n">
        <v>0.6639</v>
      </c>
      <c r="C9" s="16" t="n">
        <v>0.5276999999999999</v>
      </c>
      <c r="D9" s="16" t="n">
        <v>0.5958</v>
      </c>
      <c r="E9" s="16" t="n">
        <v>0.6524</v>
      </c>
    </row>
    <row r="10">
      <c r="A10" s="9" t="inlineStr">
        <is>
          <t>Dual-Tree Complex Wavelet (DTCWT)</t>
        </is>
      </c>
      <c r="B10" s="16" t="n">
        <v>0.6694</v>
      </c>
      <c r="C10" s="16" t="n">
        <v>0.5419</v>
      </c>
      <c r="D10" s="16" t="n">
        <v>0.6057</v>
      </c>
      <c r="E10" s="16" t="n">
        <v>0.6647</v>
      </c>
    </row>
    <row r="11">
      <c r="A11" s="9" t="inlineStr">
        <is>
          <t>Wavelet db4 (CVT)</t>
        </is>
      </c>
      <c r="B11" s="16" t="n">
        <v>0.6418</v>
      </c>
      <c r="C11" s="16" t="n">
        <v>0.4899</v>
      </c>
      <c r="D11" s="16" t="n">
        <v>0.5658</v>
      </c>
      <c r="E11" s="16" t="n">
        <v>0.6425999999999999</v>
      </c>
    </row>
    <row r="12">
      <c r="A12" s="9" t="inlineStr">
        <is>
          <t>Top-Hat clásico (r=5; m=1)</t>
        </is>
      </c>
      <c r="B12" s="16" t="n">
        <v>0.5753</v>
      </c>
      <c r="C12" s="16" t="n">
        <v>0.4376</v>
      </c>
      <c r="D12" s="16" t="n">
        <v>0.5065</v>
      </c>
      <c r="E12" s="16" t="n">
        <v>0.6082</v>
      </c>
    </row>
    <row r="13">
      <c r="A13" s="8" t="inlineStr">
        <is>
          <t>Propuesta Novedosa (r=25; m=0,30)</t>
        </is>
      </c>
      <c r="B13" s="17" t="n">
        <v>0.6405999999999999</v>
      </c>
      <c r="C13" s="17" t="n">
        <v>0.4881</v>
      </c>
      <c r="D13" s="17" t="n">
        <v>0.5643</v>
      </c>
      <c r="E13" s="17" t="n">
        <v>0.6509</v>
      </c>
    </row>
    <row r="15">
      <c r="A15" s="7" t="inlineStr">
        <is>
          <t>Lectura: complementariedad de las clases en las modalidades individuales — IR 0.779 en People frente a 0.348 en Lamp; VIS 0.621 y 0.616. 7 de las 7 fusiones detectan objetos de ambas clases en una sola imagen. En el promedio del par, 1 de las 7 fusiones supera a ambas modalidades (Ratio Pyramid). La propuesta obtiene 0.564 en el par (puesto 6 de 7 entre las fusiones), People 0.641 y Lamp 0.488. Particiones train/val/test disjuntas y estratificadas; el test es la única partición reportada. Fuente: metrics_reports/detection_m3fd_map.csv.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2026-08-03T11:26:26Z</dcterms:created>
  <dcterms:modified xmlns:dcterms="http://purl.org/dc/terms/" xmlns:xsi="http://www.w3.org/2001/XMLSchema-instance" xsi:type="dcterms:W3CDTF">2026-08-03T11:26:27Z</dcterms:modified>
</cp:coreProperties>
</file>